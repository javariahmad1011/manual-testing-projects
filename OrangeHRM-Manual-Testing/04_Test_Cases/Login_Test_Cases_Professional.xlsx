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dc43d4738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Test Cases" sheetId="1" r:id="R00aba4482dc04c6c"/>
    <x:sheet xmlns:r="http://schemas.openxmlformats.org/officeDocument/2006/relationships" name="Test Summary" sheetId="2" r:id="R10a624148b7d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color theme="1"/>
      <x:name val="Calibri"/>
    </x:font>
    <x:font>
      <x:b/>
    </x:font>
    <x:font>
      <x:b/>
      <x:sz val="18"/>
      <x:color rgb="FFFFFFFF"/>
    </x:font>
    <x:font>
      <x:i/>
      <x:sz val="10"/>
      <x:color rgb="FF44546A"/>
      <x:name val="Calibri"/>
    </x:font>
    <x:font>
      <x:b/>
      <x:sz val="10"/>
      <x:color rgb="FFFFFFFF"/>
      <x:name val="Calibri"/>
    </x:font>
    <x:font>
      <x:sz val="10"/>
      <x:color rgb="FF1F1F1F"/>
      <x:name val="Calibri"/>
    </x:font>
    <x:font>
      <x:b/>
      <x:sz val="18"/>
      <x:color rgb="FFFFFFFF"/>
      <x:name val="Calibri"/>
    </x:font>
    <x:font>
      <x:b/>
      <x:sz val="18"/>
      <x:color rgb="FF1F1F1F"/>
      <x:name val="Calibri"/>
    </x:font>
    <x:font>
      <x:b/>
      <x:sz val="11"/>
      <x:color rgb="FF1F4E78"/>
      <x:name val="Calibri"/>
    </x:font>
    <x:font>
      <x:b/>
      <x:sz val="14"/>
      <x:color rgb="FF2E7D32"/>
      <x:name val="Calibri"/>
    </x:font>
    <x:font>
      <x:b/>
      <x:sz val="11"/>
      <x:color rgb="FFFFFFFF"/>
      <x:name val="Calibri"/>
    </x:font>
    <x:font>
      <x:sz val="10"/>
      <x:color rgb="FF404040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9E6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  <x:fill>
      <x:patternFill patternType="solid">
        <x:fgColor rgb="FFE2F0D9"/>
      </x:patternFill>
    </x:fill>
    <x:fill>
      <x:patternFill patternType="solid">
        <x:fgColor rgb="FF44546A"/>
      </x:patternFill>
    </x:fill>
    <x:fill>
      <x:patternFill patternType="solid">
        <x:fgColor rgb="FFF3F8FC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200" fontId="9" fillId="10" borderId="0" xfId="0" applyNumberFormat="1" applyFont="1" applyFill="1" applyBorder="1" applyAlignment="1">
      <x:alignment horizontal="center"/>
    </x:xf>
    <x:xf numFmtId="200" fontId="9" fillId="1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 applyAlignment="1">
      <x:alignment horizontal="center"/>
    </x:xf>
    <x:xf numFmtId="20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horizontal="center"/>
    </x:xf>
    <x:xf numFmtId="200" fontId="0" fillId="9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left"/>
    </x:xf>
    <x:xf numFmtId="0" fontId="0" fillId="11" borderId="1" xfId="0" applyNumberFormat="1" applyFont="1" applyFill="1" applyBorder="1"/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62828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7c2e2b2841b9" /><Relationship Type="http://schemas.openxmlformats.org/officeDocument/2006/relationships/theme" Target="/xl/theme/theme1.xml" Id="R2a95d001ea8944b3" /><Relationship Type="http://schemas.openxmlformats.org/officeDocument/2006/relationships/sharedStrings" Target="/xl/sharedStrings.xml" Id="R60edb0791c354168" /><Relationship Type="http://schemas.openxmlformats.org/officeDocument/2006/relationships/worksheet" Target="/xl/worksheets/sheet1.xml" Id="R00aba4482dc04c6c" /><Relationship Type="http://schemas.openxmlformats.org/officeDocument/2006/relationships/worksheet" Target="/xl/worksheets/sheet2.xml" Id="R10a624148b7d4c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" hidden="0" customWidth="1"/>
    <x:col min="2" max="2" width="17" hidden="0" customWidth="1"/>
    <x:col min="3" max="3" width="11" hidden="0" customWidth="1"/>
    <x:col min="4" max="4" width="34" hidden="0" customWidth="1"/>
    <x:col min="5" max="5" width="27" hidden="0" customWidth="1"/>
    <x:col min="6" max="6" width="40" hidden="0" customWidth="1"/>
    <x:col min="7" max="7" width="22" hidden="0" customWidth="1"/>
    <x:col min="8" max="8" width="40" hidden="0" customWidth="1"/>
    <x:col min="9" max="9" width="30" hidden="0" customWidth="1"/>
    <x:col min="10" max="10" width="12" hidden="0" customWidth="1"/>
    <x:col min="11" max="11" width="12" hidden="0" customWidth="1"/>
    <x:col min="12" max="12" width="18" hidden="0" customWidth="1"/>
    <x:col min="13" max="13" width="2" hidden="0" customWidth="1"/>
  </x:cols>
  <x:sheetData>
    <x:row r="1" ht="34" customHeight="1">
      <x:c r="A1" s="7" t="str">
        <x:v>LOGIN MODULE — TEST CASE EXECUTION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2" customHeight="1">
      <x:c r="A2" s="15" t="str">
        <x:v>Professional QA Test Case Specification | Functional, Validation &amp; Security Coverage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4" customHeight="1">
      <x:c r="A4" s="24" t="str">
        <x:v>Requirement ID</x:v>
      </x:c>
      <x:c r="B4" s="24" t="str">
        <x:v>Test Case ID</x:v>
      </x:c>
      <x:c r="C4" s="24" t="str">
        <x:v>Module</x:v>
      </x:c>
      <x:c r="D4" s="24" t="str">
        <x:v>Test Scenario</x:v>
      </x:c>
      <x:c r="E4" s="24" t="str">
        <x:v>Preconditions</x:v>
      </x:c>
      <x:c r="F4" s="24" t="str">
        <x:v>Test Steps</x:v>
      </x:c>
      <x:c r="G4" s="24" t="str">
        <x:v>Test Data</x:v>
      </x:c>
      <x:c r="H4" s="24" t="str">
        <x:v>Expected Result</x:v>
      </x:c>
      <x:c r="I4" s="24" t="str">
        <x:v>Actual Result</x:v>
      </x:c>
      <x:c r="J4" s="24" t="str">
        <x:v>Priority</x:v>
      </x:c>
      <x:c r="K4" s="24" t="str">
        <x:v>Status</x:v>
      </x:c>
      <x:c r="L4" s="24" t="str">
        <x:v>Executed By</x:v>
      </x:c>
      <x:c r="M4" s="24"/>
    </x:row>
    <x:row r="5" ht="55" customHeight="1">
      <x:c r="A5" s="36" t="str">
        <x:v>RQ-001</x:v>
      </x:c>
      <x:c r="B5" s="36" t="str">
        <x:v>TC-LGN-001</x:v>
      </x:c>
      <x:c r="C5" s="36" t="str">
        <x:v>Login</x:v>
      </x:c>
      <x:c r="D5" s="32" t="str">
        <x:v>Verify login page loads correctly</x:v>
      </x:c>
      <x:c r="E5" s="32" t="str">
        <x:v>Application URL is accessible</x:v>
      </x:c>
      <x:c r="F5" s="32" t="str">
        <x:v>1. Navigate to application URL</x:v>
      </x:c>
      <x:c r="G5" s="32" t="str">
        <x:v>N/A</x:v>
      </x:c>
      <x:c r="H5" s="32" t="str">
        <x:v>Login page displays with Username, Password fields, Login button, OrangeHRM logo</x:v>
      </x:c>
      <x:c r="I5" s="102" t="str">
        <x:v>Login page loaded successfully with Username and Password fields, Login button, and OrangeHRM logo visible.</x:v>
      </x:c>
      <x:c r="J5" s="36" t="str">
        <x:v>High</x:v>
      </x:c>
      <x:c r="K5" s="36" t="str">
        <x:v>Pass</x:v>
      </x:c>
      <x:c r="L5" s="36" t="str">
        <x:v>Javaria Ahmad</x:v>
      </x:c>
      <x:c r="M5" s="40"/>
    </x:row>
    <x:row r="6" ht="55" customHeight="1">
      <x:c r="A6" s="36" t="str">
        <x:v>RQ-002</x:v>
      </x:c>
      <x:c r="B6" s="36" t="str">
        <x:v>TC-LGN-002</x:v>
      </x:c>
      <x:c r="C6" s="36" t="str">
        <x:v>Login</x:v>
      </x:c>
      <x:c r="D6" s="32" t="str">
        <x:v>Verify successful login with valid credentials</x:v>
      </x:c>
      <x:c r="E6" s="32" t="str">
        <x:v>User is on Login page</x:v>
      </x:c>
      <x:c r="F6" s="32" t="str">
        <x:v>1. Enter valid username
2. Enter valid password
3. Click Login</x:v>
      </x:c>
      <x:c r="G6" s="32" t="str">
        <x:v>Admin/admin123</x:v>
      </x:c>
      <x:c r="H6" s="32" t="str">
        <x:v>User redirected to Dashboard page</x:v>
      </x:c>
      <x:c r="I6" s="102" t="str">
        <x:v>Valid credentials were accepted and the user was redirected to the Dashboard successfully.</x:v>
      </x:c>
      <x:c r="J6" s="36" t="str">
        <x:v>High</x:v>
      </x:c>
      <x:c r="K6" s="36" t="str">
        <x:v>Pass</x:v>
      </x:c>
      <x:c r="L6" s="36" t="str">
        <x:v>Javaria Ahmad</x:v>
      </x:c>
      <x:c r="M6" s="40"/>
    </x:row>
    <x:row r="7" ht="55" customHeight="1">
      <x:c r="A7" s="36" t="str">
        <x:v>RQ-003</x:v>
      </x:c>
      <x:c r="B7" s="36" t="str">
        <x:v>TC-LGN-003</x:v>
      </x:c>
      <x:c r="C7" s="36" t="str">
        <x:v>Login</x:v>
      </x:c>
      <x:c r="D7" s="32" t="str">
        <x:v>Verify login fails with invalid username</x:v>
      </x:c>
      <x:c r="E7" s="32" t="str">
        <x:v>User is on Login page</x:v>
      </x:c>
      <x:c r="F7" s="32" t="str">
        <x:v>1. Enter invalid username
2. Enter valid password
3. Click Login</x:v>
      </x:c>
      <x:c r="G7" s="32" t="str">
        <x:v>wronguser/admin123</x:v>
      </x:c>
      <x:c r="H7" s="32" t="str">
        <x:v>Error message 'Invalid credentials' displayed</x:v>
      </x:c>
      <x:c r="I7" s="102" t="str">
        <x:v>Invalid username was rejected and the 'Invalid credentials' error message was displayed.</x:v>
      </x:c>
      <x:c r="J7" s="36" t="str">
        <x:v>High</x:v>
      </x:c>
      <x:c r="K7" s="36" t="str">
        <x:v>Pass</x:v>
      </x:c>
      <x:c r="L7" s="36" t="str">
        <x:v>Javaria Ahmad</x:v>
      </x:c>
      <x:c r="M7" s="40"/>
    </x:row>
    <x:row r="8" ht="55" customHeight="1">
      <x:c r="A8" s="36" t="str">
        <x:v>RQ-004</x:v>
      </x:c>
      <x:c r="B8" s="36" t="str">
        <x:v>TC-LGN-004</x:v>
      </x:c>
      <x:c r="C8" s="36" t="str">
        <x:v>Login</x:v>
      </x:c>
      <x:c r="D8" s="32" t="str">
        <x:v>Verify login fails with invalid password</x:v>
      </x:c>
      <x:c r="E8" s="32" t="str">
        <x:v>User is on Login page</x:v>
      </x:c>
      <x:c r="F8" s="32" t="str">
        <x:v>1. Enter valid username
2. Enter invalid password
3. Click Login</x:v>
      </x:c>
      <x:c r="G8" s="32" t="str">
        <x:v>Admin/wrongpass</x:v>
      </x:c>
      <x:c r="H8" s="32" t="str">
        <x:v>Error message 'Invalid credentials' displayed</x:v>
      </x:c>
      <x:c r="I8" s="102" t="str">
        <x:v>Invalid password was rejected and the 'Invalid credentials' error message was displayed.</x:v>
      </x:c>
      <x:c r="J8" s="36" t="str">
        <x:v>High</x:v>
      </x:c>
      <x:c r="K8" s="36" t="str">
        <x:v>Pass</x:v>
      </x:c>
      <x:c r="L8" s="36" t="str">
        <x:v>Javaria Ahmad</x:v>
      </x:c>
      <x:c r="M8" s="40"/>
    </x:row>
    <x:row r="9" ht="55" customHeight="1">
      <x:c r="A9" s="36" t="str">
        <x:v>RQ-005</x:v>
      </x:c>
      <x:c r="B9" s="36" t="str">
        <x:v>TC-LGN-005</x:v>
      </x:c>
      <x:c r="C9" s="36" t="str">
        <x:v>Login</x:v>
      </x:c>
      <x:c r="D9" s="32" t="str">
        <x:v>Verify blank username and password validation</x:v>
      </x:c>
      <x:c r="E9" s="32" t="str">
        <x:v>User is on Login page</x:v>
      </x:c>
      <x:c r="F9" s="32" t="str">
        <x:v>1. Leave both fields empty
2. Click Login</x:v>
      </x:c>
      <x:c r="G9" s="32" t="str">
        <x:v>N/A</x:v>
      </x:c>
      <x:c r="H9" s="32" t="str">
        <x:v>Required validation messages appear for both fields</x:v>
      </x:c>
      <x:c r="I9" s="102" t="str">
        <x:v>Required validation messages were displayed for both Username and Password, and login was prevented.</x:v>
      </x:c>
      <x:c r="J9" s="36" t="str">
        <x:v>High</x:v>
      </x:c>
      <x:c r="K9" s="36" t="str">
        <x:v>Pass</x:v>
      </x:c>
      <x:c r="L9" s="36" t="str">
        <x:v>Javaria Ahmad</x:v>
      </x:c>
      <x:c r="M9" s="40"/>
    </x:row>
    <x:row r="10" ht="55" customHeight="1">
      <x:c r="A10" s="36" t="str">
        <x:v>RQ-006</x:v>
      </x:c>
      <x:c r="B10" s="36" t="str">
        <x:v>TC-LGN-006</x:v>
      </x:c>
      <x:c r="C10" s="36" t="str">
        <x:v>Login</x:v>
      </x:c>
      <x:c r="D10" s="32" t="str">
        <x:v>Verify blank username validation</x:v>
      </x:c>
      <x:c r="E10" s="32" t="str">
        <x:v>User is on Login page</x:v>
      </x:c>
      <x:c r="F10" s="32" t="str">
        <x:v>1. Leave username blank
2. Enter password
3. Click Login</x:v>
      </x:c>
      <x:c r="G10" s="32" t="str">
        <x:v>Password only</x:v>
      </x:c>
      <x:c r="H10" s="32" t="str">
        <x:v>Required message displayed under Username</x:v>
      </x:c>
      <x:c r="I10" s="102" t="str">
        <x:v>Required validation message was displayed for the Username field, and login was prevented.</x:v>
      </x:c>
      <x:c r="J10" s="36" t="str">
        <x:v>Medium</x:v>
      </x:c>
      <x:c r="K10" s="36" t="str">
        <x:v>Pass</x:v>
      </x:c>
      <x:c r="L10" s="36" t="str">
        <x:v>Javaria Ahmad</x:v>
      </x:c>
      <x:c r="M10" s="40"/>
    </x:row>
    <x:row r="11" ht="55" customHeight="1">
      <x:c r="A11" s="36" t="str">
        <x:v>RQ-007</x:v>
      </x:c>
      <x:c r="B11" s="36" t="str">
        <x:v>TC-LGN-007</x:v>
      </x:c>
      <x:c r="C11" s="36" t="str">
        <x:v>Login</x:v>
      </x:c>
      <x:c r="D11" s="32" t="str">
        <x:v>Verify blank password validation</x:v>
      </x:c>
      <x:c r="E11" s="32" t="str">
        <x:v>User is on Login page</x:v>
      </x:c>
      <x:c r="F11" s="32" t="str">
        <x:v>1. Enter username
2. Leave password blank
3. Click Login</x:v>
      </x:c>
      <x:c r="G11" s="32" t="str">
        <x:v>Username only</x:v>
      </x:c>
      <x:c r="H11" s="32" t="str">
        <x:v>Required message displayed under Password</x:v>
      </x:c>
      <x:c r="I11" s="102" t="str">
        <x:v>Required validation message was displayed for the Password field, and login was prevented.</x:v>
      </x:c>
      <x:c r="J11" s="36" t="str">
        <x:v>Medium</x:v>
      </x:c>
      <x:c r="K11" s="36" t="str">
        <x:v>Pass</x:v>
      </x:c>
      <x:c r="L11" s="36" t="str">
        <x:v>Javaria Ahmad</x:v>
      </x:c>
      <x:c r="M11" s="40"/>
    </x:row>
    <x:row r="12" ht="55" customHeight="1">
      <x:c r="A12" s="36" t="str">
        <x:v>RQ-008</x:v>
      </x:c>
      <x:c r="B12" s="36" t="str">
        <x:v>TC-LGN-008</x:v>
      </x:c>
      <x:c r="C12" s="36" t="str">
        <x:v>Login</x:v>
      </x:c>
      <x:c r="D12" s="32" t="str">
        <x:v>Verify password masking</x:v>
      </x:c>
      <x:c r="E12" s="32" t="str">
        <x:v>User is on Login page</x:v>
      </x:c>
      <x:c r="F12" s="32" t="str">
        <x:v>1. Enter password</x:v>
      </x:c>
      <x:c r="G12" s="32" t="str">
        <x:v>admin123</x:v>
      </x:c>
      <x:c r="H12" s="32" t="str">
        <x:v>Password is masked</x:v>
      </x:c>
      <x:c r="I12" s="102" t="str">
        <x:v>Password characters were masked while typing and were not displayed as plain text.</x:v>
      </x:c>
      <x:c r="J12" s="36" t="str">
        <x:v>Medium</x:v>
      </x:c>
      <x:c r="K12" s="36" t="str">
        <x:v>Pass</x:v>
      </x:c>
      <x:c r="L12" s="36" t="str">
        <x:v>Javaria Ahmad</x:v>
      </x:c>
      <x:c r="M12" s="40"/>
    </x:row>
    <x:row r="13" ht="55" customHeight="1">
      <x:c r="A13" s="36" t="str">
        <x:v>RQ-009</x:v>
      </x:c>
      <x:c r="B13" s="36" t="str">
        <x:v>TC-LGN-009</x:v>
      </x:c>
      <x:c r="C13" s="36" t="str">
        <x:v>Login</x:v>
      </x:c>
      <x:c r="D13" s="32" t="str">
        <x:v>Verify SQL injection protection</x:v>
      </x:c>
      <x:c r="E13" s="32" t="str">
        <x:v>User is on Login page</x:v>
      </x:c>
      <x:c r="F13" s="32" t="str">
        <x:v>1. Enter SQL injection payload
2. Click Login</x:v>
      </x:c>
      <x:c r="G13" s="32" t="str">
        <x:v>' OR '1'='1</x:v>
      </x:c>
      <x:c r="H13" s="32" t="str">
        <x:v>Login rejected and unauthorized access prevented</x:v>
      </x:c>
      <x:c r="I13" s="102" t="str">
        <x:v>SQL injection payload was rejected and no unauthorized access was granted.</x:v>
      </x:c>
      <x:c r="J13" s="36" t="str">
        <x:v>High</x:v>
      </x:c>
      <x:c r="K13" s="36" t="str">
        <x:v>Pass</x:v>
      </x:c>
      <x:c r="L13" s="36" t="str">
        <x:v>Javaria Ahmad</x:v>
      </x:c>
      <x:c r="M13" s="40"/>
    </x:row>
    <x:row r="14" ht="55" customHeight="1">
      <x:c r="A14" s="36" t="str">
        <x:v>RQ-010</x:v>
      </x:c>
      <x:c r="B14" s="36" t="str">
        <x:v>TC-LGN-010</x:v>
      </x:c>
      <x:c r="C14" s="36" t="str">
        <x:v>Login</x:v>
      </x:c>
      <x:c r="D14" s="32" t="str">
        <x:v>Verify Forgot Password link</x:v>
      </x:c>
      <x:c r="E14" s="32" t="str">
        <x:v>User is on Login page</x:v>
      </x:c>
      <x:c r="F14" s="32" t="str">
        <x:v>1. Click Forgot Password</x:v>
      </x:c>
      <x:c r="G14" s="32" t="str">
        <x:v>N/A</x:v>
      </x:c>
      <x:c r="H14" s="32" t="str">
        <x:v>Reset Password page opens</x:v>
      </x:c>
      <x:c r="I14" s="102" t="str">
        <x:v>Forgot Password link opened the Reset Password page successfully.</x:v>
      </x:c>
      <x:c r="J14" s="36" t="str">
        <x:v>Medium</x:v>
      </x:c>
      <x:c r="K14" s="36" t="str">
        <x:v>Pass</x:v>
      </x:c>
      <x:c r="L14" s="36" t="str">
        <x:v>Javaria Ahmad</x:v>
      </x:c>
      <x:c r="M14" s="40"/>
    </x:row>
    <x:row r="15" ht="55" customHeight="1">
      <x:c r="A15" s="36" t="str">
        <x:v>RQ-011</x:v>
      </x:c>
      <x:c r="B15" s="36" t="str">
        <x:v>TC-LGN-011</x:v>
      </x:c>
      <x:c r="C15" s="36" t="str">
        <x:v>Login</x:v>
      </x:c>
      <x:c r="D15" s="32" t="str">
        <x:v>Verify credential case sensitivity</x:v>
      </x:c>
      <x:c r="E15" s="32" t="str">
        <x:v>User is on Login page</x:v>
      </x:c>
      <x:c r="F15" s="32" t="str">
        <x:v>1. Enter uppercase credentials
2. Click Login</x:v>
      </x:c>
      <x:c r="G15" s="32" t="str">
        <x:v>ADMIN/ADMIN123</x:v>
      </x:c>
      <x:c r="H15" s="32" t="str">
        <x:v>Login fails if credentials are case-sensitive</x:v>
      </x:c>
      <x:c r="I15" s="102" t="str">
        <x:v>Uppercase credentials were not rejected as expected; the case-sensitivity check failed.</x:v>
      </x:c>
      <x:c r="J15" s="36" t="str">
        <x:v>Medium</x:v>
      </x:c>
      <x:c r="K15" s="36" t="str">
        <x:v>Fail</x:v>
      </x:c>
      <x:c r="L15" s="36" t="str">
        <x:v>Javaria Ahmad</x:v>
      </x:c>
      <x:c r="M15" s="40"/>
    </x:row>
  </x:sheetData>
  <x:mergeCells>
    <x:mergeCell ref="A1:L1"/>
    <x:mergeCell ref="A2:L2"/>
  </x:mergeCells>
  <x:conditionalFormatting sqref="K5:K100">
    <x:cfRule type="expression" dxfId="0" priority="1">
      <x:formula>K5="Pass"</x:formula>
    </x:cfRule>
    <x:cfRule type="expression" dxfId="1" priority="2">
      <x:formula>K5="Fail"</x:formula>
    </x:cfRule>
    <x:cfRule type="expression" dxfId="2" priority="3">
      <x:formula>K5="Blocked"</x:formula>
    </x:cfRule>
    <x:cfRule type="expression" dxfId="3" priority="4">
      <x:formula>K5="Not Run"</x:formula>
    </x:cfRule>
  </x:conditionalFormatting>
  <x:conditionalFormatting sqref="J5:J100">
    <x:cfRule type="expression" dxfId="4" priority="5">
      <x:formula>J5="Critical"</x:formula>
    </x:cfRule>
    <x:cfRule type="expression" dxfId="5" priority="6">
      <x:formula>J5="High"</x:formula>
    </x:cfRule>
    <x:cfRule type="expression" dxfId="6" priority="7">
      <x:formula>J5="Medium"</x:formula>
    </x:cfRule>
    <x:cfRule type="expression" dxfId="7" priority="8">
      <x:formula>J5="Low"</x:formula>
    </x:cfRule>
  </x:conditionalFormatting>
  <x:dataValidations count="2">
    <x:dataValidation type="list" sqref="J5:J100">
      <x:formula1>"Critical,High,Medium,Low"</x:formula1>
    </x:dataValidation>
    <x:dataValidation type="list" sqref="K5:K100">
      <x:formula1>"Not Run,Pass,Fail,Blocked"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5" t="str">
        <x:v>LOGIN TEST EXECUTION SUMMARY</x:v>
      </x:c>
      <x:c r="B1" s="45"/>
      <x:c r="C1" s="45"/>
      <x:c r="D1" s="45"/>
      <x:c r="E1" s="45"/>
      <x:c r="F1" s="45"/>
    </x:row>
    <x:row r="2">
      <x:c r="A2" s="14" t="str">
        <x:v>Live overview calculated from the Login Test Cases sheet</x:v>
      </x:c>
      <x:c r="B2" s="14"/>
      <x:c r="C2" s="14"/>
      <x:c r="D2" s="14"/>
      <x:c r="E2" s="14"/>
      <x:c r="F2" s="14"/>
    </x:row>
    <x:row r="4" ht="30" customHeight="1">
      <x:c r="A4" s="53" t="str">
        <x:v>Total Test Cases</x:v>
      </x:c>
      <x:c r="B4" s="53" t="str"/>
      <x:c r="C4" s="53" t="str">
        <x:v>Passed</x:v>
      </x:c>
      <x:c r="D4" s="53" t="str"/>
      <x:c r="E4" s="53" t="str">
        <x:v>Failed</x:v>
      </x:c>
      <x:c r="F4" s="53" t="str"/>
    </x:row>
    <x:row r="5" ht="30" customHeight="1">
      <x:c r="A5" s="61" t="n">
        <x:f>COUNTA('Login Test Cases'!B5:B100)</x:f>
        <x:v>11</x:v>
      </x:c>
      <x:c r="B5" s="61"/>
      <x:c r="C5" s="61" t="n">
        <x:f>COUNTIF('Login Test Cases'!K5:K100,"Pass")</x:f>
        <x:v>10</x:v>
      </x:c>
      <x:c r="D5" s="61"/>
      <x:c r="E5" s="61" t="n">
        <x:f>COUNTIF('Login Test Cases'!K5:K100,"Fail")</x:f>
        <x:v>1</x:v>
      </x:c>
      <x:c r="F5" s="61"/>
    </x:row>
    <x:row r="7">
      <x:c r="A7" s="67" t="str">
        <x:v>Pass Rate</x:v>
      </x:c>
      <x:c r="B7" s="67"/>
      <x:c r="C7" s="67"/>
      <x:c r="D7" s="76" t="n">
        <x:f>IF(COUNTA('Login Test Cases'!B5:B100)=0,0,COUNTIF('Login Test Cases'!K5:K100,"Pass")/COUNTA('Login Test Cases'!B5:B100))</x:f>
        <x:v>0.9090909090909091</x:v>
      </x:c>
      <x:c r="E7" s="76"/>
      <x:c r="F7" s="76"/>
    </x:row>
    <x:row r="10">
      <x:c r="A10" s="81" t="str">
        <x:v>Status</x:v>
      </x:c>
      <x:c r="B10" s="81" t="str">
        <x:v>Count</x:v>
      </x:c>
      <x:c r="C10" s="81" t="str">
        <x:v>% of Total</x:v>
      </x:c>
      <x:c r="E10" s="81" t="str">
        <x:v>Priority</x:v>
      </x:c>
      <x:c r="F10" s="81" t="str">
        <x:v>Count</x:v>
      </x:c>
    </x:row>
    <x:row r="11">
      <x:c r="A11" s="85" t="str">
        <x:v>Pass</x:v>
      </x:c>
      <x:c r="B11" s="85" t="n">
        <x:f>COUNTIF('Login Test Cases'!K5:K100,"Pass")</x:f>
        <x:v>10</x:v>
      </x:c>
      <x:c r="C11" s="86" t="n">
        <x:f>IF($A$5=0,0,B11/$A$5)</x:f>
        <x:v>0.9090909090909091</x:v>
      </x:c>
      <x:c r="E11" s="85" t="str">
        <x:v>Critical</x:v>
      </x:c>
      <x:c r="F11" s="85" t="n">
        <x:f>COUNTIF('Login Test Cases'!J5:J100,"Critical")</x:f>
        <x:v>0</x:v>
      </x:c>
    </x:row>
    <x:row r="12">
      <x:c r="A12" s="85" t="str">
        <x:v>Fail</x:v>
      </x:c>
      <x:c r="B12" s="85" t="n">
        <x:f>COUNTIF('Login Test Cases'!K5:K100,"Fail")</x:f>
        <x:v>1</x:v>
      </x:c>
      <x:c r="C12" s="86" t="n">
        <x:f>IF($A$5=0,0,B12/$A$5)</x:f>
        <x:v>0.09090909090909091</x:v>
      </x:c>
      <x:c r="E12" s="85" t="str">
        <x:v>High</x:v>
      </x:c>
      <x:c r="F12" s="85" t="n">
        <x:f>COUNTIF('Login Test Cases'!J5:J100,"High")</x:f>
        <x:v>6</x:v>
      </x:c>
    </x:row>
    <x:row r="13">
      <x:c r="A13" s="85" t="str">
        <x:v>Blocked</x:v>
      </x:c>
      <x:c r="B13" s="85" t="n">
        <x:f>COUNTIF('Login Test Cases'!K5:K100,"Blocked")</x:f>
        <x:v>0</x:v>
      </x:c>
      <x:c r="C13" s="86" t="n">
        <x:f>IF($A$5=0,0,B13/$A$5)</x:f>
        <x:v>0</x:v>
      </x:c>
      <x:c r="E13" s="85" t="str">
        <x:v>Medium</x:v>
      </x:c>
      <x:c r="F13" s="85" t="n">
        <x:f>COUNTIF('Login Test Cases'!J5:J100,"Medium")</x:f>
        <x:v>5</x:v>
      </x:c>
    </x:row>
    <x:row r="14">
      <x:c r="A14" s="85" t="str">
        <x:v>Not Run</x:v>
      </x:c>
      <x:c r="B14" s="85" t="n">
        <x:f>COUNTIF('Login Test Cases'!K5:K100,"Not Run")</x:f>
        <x:v>0</x:v>
      </x:c>
      <x:c r="C14" s="86" t="n">
        <x:f>IF($A$5=0,0,B14/$A$5)</x:f>
        <x:v>0</x:v>
      </x:c>
      <x:c r="E14" s="85" t="str">
        <x:v>Low</x:v>
      </x:c>
      <x:c r="F14" s="85" t="n">
        <x:f>COUNTIF('Login Test Cases'!J5:J100,"Low")</x:f>
        <x:v>0</x:v>
      </x:c>
    </x:row>
    <x:row r="17">
      <x:c r="A17" s="92" t="str">
        <x:v>Execution Notes</x:v>
      </x:c>
      <x:c r="B17" s="92"/>
      <x:c r="C17" s="92"/>
      <x:c r="D17" s="92"/>
      <x:c r="E17" s="92"/>
      <x:c r="F17" s="92"/>
    </x:row>
    <x:row r="18">
      <x:c r="A18" s="99" t="str">
        <x:v>Update Actual Result, Status, and Executed By during each test run. Status and Priority fields use controlled dropdown values for consistent reporting.</x:v>
      </x:c>
      <x:c r="B18" s="99"/>
      <x:c r="C18" s="99"/>
      <x:c r="D18" s="99"/>
      <x:c r="E18" s="99"/>
      <x:c r="F18" s="99"/>
    </x:row>
    <x:row r="19">
      <x:c r="A19" s="99"/>
      <x:c r="B19" s="99"/>
      <x:c r="C19" s="99"/>
      <x:c r="D19" s="99"/>
      <x:c r="E19" s="99"/>
      <x:c r="F19" s="99"/>
    </x:row>
    <x:row r="20">
      <x:c r="A20" s="99"/>
      <x:c r="B20" s="99"/>
      <x:c r="C20" s="99"/>
      <x:c r="D20" s="99"/>
      <x:c r="E20" s="99"/>
      <x:c r="F20" s="99"/>
    </x:row>
  </x:sheetData>
  <x:mergeCells>
    <x:mergeCell ref="A1:F1"/>
    <x:mergeCell ref="A2:F2"/>
    <x:mergeCell ref="A4:B4"/>
    <x:mergeCell ref="C4:D4"/>
    <x:mergeCell ref="E4:F4"/>
    <x:mergeCell ref="A5:B5"/>
    <x:mergeCell ref="C5:D5"/>
    <x:mergeCell ref="E5:F5"/>
    <x:mergeCell ref="A7:C7"/>
    <x:mergeCell ref="D7:F7"/>
    <x:mergeCell ref="A17:F17"/>
    <x:mergeCell ref="A18:F20"/>
  </x:mergeCells>
  <x:pageMargins left="0.7" right="0.7" top="0.75" bottom="0.75" header="0.3" footer="0.3"/>
</x:worksheet>
</file>