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0baacc9c3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3cced689a5c14a81"/>
    <x:sheet xmlns:r="http://schemas.openxmlformats.org/officeDocument/2006/relationships" name="Test Execution" sheetId="2" r:id="Rc6a7d350a0af4de2"/>
    <x:sheet xmlns:r="http://schemas.openxmlformats.org/officeDocument/2006/relationships" name="Module Summary" sheetId="3" r:id="R041f81e4765d4fae"/>
    <x:sheet xmlns:r="http://schemas.openxmlformats.org/officeDocument/2006/relationships" name="Defect Mapping" sheetId="4" r:id="R0d353dc1c58848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  <x:font>
      <x:sz val="10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F7F7F"/>
      </x:font>
      <x:fill>
        <x:patternFill patternType="solid">
          <x:bgColor rgb="FFF2F2F2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781bb28b647f2" /><Relationship Type="http://schemas.openxmlformats.org/officeDocument/2006/relationships/theme" Target="/xl/theme/theme1.xml" Id="R37231b2231b04959" /><Relationship Type="http://schemas.openxmlformats.org/officeDocument/2006/relationships/sharedStrings" Target="/xl/sharedStrings.xml" Id="R50de71d27c8f4a68" /><Relationship Type="http://schemas.openxmlformats.org/officeDocument/2006/relationships/worksheet" Target="/xl/worksheets/sheet1.xml" Id="R3cced689a5c14a81" /><Relationship Type="http://schemas.openxmlformats.org/officeDocument/2006/relationships/worksheet" Target="/xl/worksheets/sheet2.xml" Id="Rc6a7d350a0af4de2" /><Relationship Type="http://schemas.openxmlformats.org/officeDocument/2006/relationships/worksheet" Target="/xl/worksheets/sheet3.xml" Id="R041f81e4765d4fae" /><Relationship Type="http://schemas.openxmlformats.org/officeDocument/2006/relationships/worksheet" Target="/xl/worksheets/sheet4.xml" Id="R0d353dc1c58848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90ee8048614601" /><Relationship Type="http://schemas.openxmlformats.org/officeDocument/2006/relationships/chart" Target="/xl/drawings/charts/chart2.xml" Id="R8d1a0f5662a440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Execution Status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Summary'!$D$5:$D$8</c:f>
              <c:strCache>
                <c:ptCount val="0"/>
              </c:strCache>
            </c:strRef>
          </c:cat>
          <c:val>
            <c:numRef>
              <c:f>'Executive Summary'!$E$5:$E$8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Pass / Fail by Module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'Executive Summary'!$A$23:$A$35</c:f>
              <c:strCache>
                <c:ptCount val="0"/>
              </c:strCache>
            </c:strRef>
          </c:cat>
          <c:val>
            <c:numRef>
              <c:f>'Executive Summary'!$B$23:$B$35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Pass</c:v>
          </c:tx>
          <c:cat>
            <c:strRef>
              <c:f>'Executive Summary'!$A$23:$A$35</c:f>
              <c:strCache>
                <c:ptCount val="0"/>
              </c:strCache>
            </c:strRef>
          </c:cat>
          <c:val>
            <c:numRef>
              <c:f>'Executive Summary'!$C$23:$C$35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Fail</c:v>
          </c:tx>
          <c:cat>
            <c:strRef>
              <c:f>'Executive Summary'!$A$23:$A$35</c:f>
              <c:strCache>
                <c:ptCount val="0"/>
              </c:strCache>
            </c:strRef>
          </c:cat>
          <c:val>
            <c:numRef>
              <c:f>'Executive Summary'!$D$23:$D$35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90ee804861460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1a0f5662a440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ecutionDetailTable" displayName="ExecutionDetailTable" ref="A4:O100" headerRowCount="1" totalsRowCount="0" totalsRowShown="0">
  <x:tableColumns count="15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ExecutionTable" displayName="ModuleExecutionTable" ref="A4:K17" headerRowCount="1" totalsRowCount="0" totalsRowShown="0">
  <x:tableColumns count="11">
    <x:tableColumn id="1" name="Module"/>
    <x:tableColumn id="2" name="Total"/>
    <x:tableColumn id="3" name="Executed"/>
    <x:tableColumn id="4" name="Passed"/>
    <x:tableColumn id="5" name="Failed"/>
    <x:tableColumn id="6" name="Blocked"/>
    <x:tableColumn id="7" name="Not Executed"/>
    <x:tableColumn id="8" name="Execution %"/>
    <x:tableColumn id="9" name="Pass %"/>
    <x:tableColumn id="10" name="Defects"/>
    <x:tableColumn id="11" name="QA Observ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ecutionDefectMapTable" displayName="ExecutionDefectMapTable" ref="A4:H8" headerRowCount="1" totalsRowCount="0" totalsRowShown="0">
  <x:tableColumns count="8">
    <x:tableColumn id="1" name="Bug ID"/>
    <x:tableColumn id="2" name="Test Case ID"/>
    <x:tableColumn id="3" name="Requirement ID"/>
    <x:tableColumn id="4" name="Module"/>
    <x:tableColumn id="5" name="Severity"/>
    <x:tableColumn id="6" name="Priority"/>
    <x:tableColumn id="7" name="Status"/>
    <x:tableColumn id="8" name="Dis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ea9ed557194f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e9cdf8019c47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8fc3c644f446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7a6e7db2f6440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8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5" t="str">
        <x:v>OrangeHRM — Test Execution Executive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3" t="str">
        <x:v>Historical execution baseline: 96 canonical cases across 13 modules | Four failed cases are linked to Deliverable 9 for reproduction and triage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22" t="str">
        <x:v>Execution KPI</x:v>
      </x:c>
      <x:c r="B4" s="22" t="str">
        <x:v>Value</x:v>
      </x:c>
      <x:c r="D4" s="22" t="str">
        <x:v>Execution Status</x:v>
      </x:c>
      <x:c r="E4" s="22" t="str">
        <x:v>Count</x:v>
      </x:c>
    </x:row>
    <x:row r="5">
      <x:c r="A5" s="28" t="str">
        <x:v>Total Test Cases</x:v>
      </x:c>
      <x:c r="B5" s="30" t="n">
        <x:f>COUNTA('Test Execution'!B5:B100)</x:f>
        <x:v>96</x:v>
      </x:c>
      <x:c r="D5" s="28" t="str">
        <x:v>Pass</x:v>
      </x:c>
      <x:c r="E5" s="30" t="n">
        <x:f>COUNTIF('Test Execution'!N5:N100,D5)</x:f>
        <x:v>92</x:v>
      </x:c>
    </x:row>
    <x:row r="6">
      <x:c r="A6" s="31" t="str">
        <x:v>Executed</x:v>
      </x:c>
      <x:c r="B6" s="33" t="n">
        <x:f>COUNTIF('Test Execution'!N5:N100,"Pass")+COUNTIF('Test Execution'!N5:N100,"Fail")+COUNTIF('Test Execution'!N5:N100,"Blocked")</x:f>
        <x:v>96</x:v>
      </x:c>
      <x:c r="D6" s="31" t="str">
        <x:v>Fail</x:v>
      </x:c>
      <x:c r="E6" s="33" t="n">
        <x:f>COUNTIF('Test Execution'!N5:N100,D6)</x:f>
        <x:v>4</x:v>
      </x:c>
    </x:row>
    <x:row r="7">
      <x:c r="A7" s="31" t="str">
        <x:v>Passed</x:v>
      </x:c>
      <x:c r="B7" s="33" t="n">
        <x:f>COUNTIF('Test Execution'!N5:N100,"Pass")</x:f>
        <x:v>92</x:v>
      </x:c>
      <x:c r="D7" s="31" t="str">
        <x:v>Blocked</x:v>
      </x:c>
      <x:c r="E7" s="33" t="n">
        <x:f>COUNTIF('Test Execution'!N5:N100,D7)</x:f>
        <x:v>0</x:v>
      </x:c>
    </x:row>
    <x:row r="8">
      <x:c r="A8" s="31" t="str">
        <x:v>Failed</x:v>
      </x:c>
      <x:c r="B8" s="33" t="n">
        <x:f>COUNTIF('Test Execution'!N5:N100,"Fail")</x:f>
        <x:v>4</x:v>
      </x:c>
      <x:c r="D8" s="34" t="str">
        <x:v>Not Executed</x:v>
      </x:c>
      <x:c r="E8" s="36" t="n">
        <x:f>COUNTIF('Test Execution'!N5:N100,D8)</x:f>
        <x:v>0</x:v>
      </x:c>
    </x:row>
    <x:row r="9">
      <x:c r="A9" s="31" t="str">
        <x:v>Blocked</x:v>
      </x:c>
      <x:c r="B9" s="33" t="n">
        <x:f>COUNTIF('Test Execution'!N5:N100,"Blocked")</x:f>
        <x:v>0</x:v>
      </x:c>
    </x:row>
    <x:row r="10">
      <x:c r="A10" s="31" t="str">
        <x:v>Not Executed</x:v>
      </x:c>
      <x:c r="B10" s="33" t="n">
        <x:f>COUNTIF('Test Execution'!N5:N100,"Not Executed")</x:f>
        <x:v>0</x:v>
      </x:c>
    </x:row>
    <x:row r="11">
      <x:c r="A11" s="31" t="str">
        <x:v>Execution %</x:v>
      </x:c>
      <x:c r="B11" s="87" t="n">
        <x:f>IF(B5=0,0,B6/B5)</x:f>
        <x:v>1</x:v>
      </x:c>
    </x:row>
    <x:row r="12">
      <x:c r="A12" s="34" t="str">
        <x:v>Pass %</x:v>
      </x:c>
      <x:c r="B12" s="88" t="n">
        <x:f>IF(B6=0,0,B7/B6)</x:f>
        <x:v>0.9583333333333334</x:v>
      </x:c>
    </x:row>
    <x:row r="15">
      <x:c r="A15" s="92" t="str">
        <x:v>QA Execution Assessment</x:v>
      </x:c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</x:row>
    <x:row r="16">
      <x:c r="A16" s="98" t="str">
        <x:v>Execution completion is 100% for the retained historical baseline. The baseline pass rate is 95.83% (92/96). Four cases failed across Login, Forgot Password, Recruitment and My Info. Because detailed historical browser/build/evidence was not retained, these failures are controlled through BUG-001 to BUG-004 as Open - Needs Reproduction. QA closure should remain pending until those items are reproduced, triaged and dispositioned.</x:v>
      </x:c>
      <x:c r="B16" s="98"/>
      <x:c r="C16" s="98"/>
      <x:c r="D16" s="98"/>
      <x:c r="E16" s="98"/>
      <x:c r="F16" s="98"/>
      <x:c r="G16" s="98"/>
      <x:c r="H16" s="98"/>
      <x:c r="I16" s="98"/>
      <x:c r="J16" s="98"/>
      <x:c r="K16" s="98"/>
      <x:c r="L16" s="98"/>
      <x:c r="M16" s="98"/>
      <x:c r="N16" s="98"/>
    </x:row>
    <x:row r="17">
      <x:c r="A17" s="98"/>
      <x:c r="B17" s="98"/>
      <x:c r="C17" s="98"/>
      <x:c r="D17" s="98"/>
      <x:c r="E17" s="98"/>
      <x:c r="F17" s="98"/>
      <x:c r="G17" s="98"/>
      <x:c r="H17" s="98"/>
      <x:c r="I17" s="98"/>
      <x:c r="J17" s="98"/>
      <x:c r="K17" s="98"/>
      <x:c r="L17" s="98"/>
      <x:c r="M17" s="98"/>
      <x:c r="N17" s="98"/>
    </x:row>
    <x:row r="18">
      <x:c r="A18" s="98"/>
      <x:c r="B18" s="98"/>
      <x:c r="C18" s="98"/>
      <x:c r="D18" s="98"/>
      <x:c r="E18" s="98"/>
      <x:c r="F18" s="98"/>
      <x:c r="G18" s="98"/>
      <x:c r="H18" s="98"/>
      <x:c r="I18" s="98"/>
      <x:c r="J18" s="98"/>
      <x:c r="K18" s="98"/>
      <x:c r="L18" s="98"/>
      <x:c r="M18" s="98"/>
      <x:c r="N18" s="98"/>
    </x:row>
    <x:row r="19">
      <x:c r="A19" s="98"/>
      <x:c r="B19" s="98"/>
      <x:c r="C19" s="98"/>
      <x:c r="D19" s="98"/>
      <x:c r="E19" s="98"/>
      <x:c r="F19" s="98"/>
      <x:c r="G19" s="98"/>
      <x:c r="H19" s="98"/>
      <x:c r="I19" s="98"/>
      <x:c r="J19" s="98"/>
      <x:c r="K19" s="98"/>
      <x:c r="L19" s="98"/>
      <x:c r="M19" s="98"/>
      <x:c r="N19" s="98"/>
    </x:row>
    <x:row r="22">
      <x:c r="A22" s="22" t="str">
        <x:v>Module</x:v>
      </x:c>
      <x:c r="B22" s="22" t="str">
        <x:v>Total</x:v>
      </x:c>
      <x:c r="C22" s="22" t="str">
        <x:v>Pass</x:v>
      </x:c>
      <x:c r="D22" s="22" t="str">
        <x:v>Fail</x:v>
      </x:c>
      <x:c r="E22" s="22" t="str">
        <x:v>Pass %</x:v>
      </x:c>
      <x:c r="F22" s="22" t="str">
        <x:v>Defects</x:v>
      </x:c>
    </x:row>
    <x:row r="23">
      <x:c r="A23" s="28" t="str">
        <x:v>Login</x:v>
      </x:c>
      <x:c r="B23" s="29" t="n">
        <x:f>COUNTIF('Test Execution'!$C$5:$C$100,A23)</x:f>
        <x:v>12</x:v>
      </x:c>
      <x:c r="C23" s="29" t="n">
        <x:f>COUNTIFS('Test Execution'!$C$5:$C$100,A23,'Test Execution'!$N$5:$N$100,"Pass")</x:f>
        <x:v>11</x:v>
      </x:c>
      <x:c r="D23" s="29" t="n">
        <x:f>COUNTIFS('Test Execution'!$C$5:$C$100,A23,'Test Execution'!$N$5:$N$100,"Fail")</x:f>
        <x:v>1</x:v>
      </x:c>
      <x:c r="E23" s="103" t="n">
        <x:f>IF(B23=0,0,C23/B23)</x:f>
        <x:v>0.9166666666666666</x:v>
      </x:c>
      <x:c r="F23" s="30" t="n">
        <x:f>COUNTIF('Defect Mapping'!$D$5:$D$20,A23)</x:f>
        <x:v>1</x:v>
      </x:c>
    </x:row>
    <x:row r="24">
      <x:c r="A24" s="31" t="str">
        <x:v>Forgot Password</x:v>
      </x:c>
      <x:c r="B24" s="32" t="n">
        <x:f>COUNTIF('Test Execution'!$C$5:$C$100,A24)</x:f>
        <x:v>5</x:v>
      </x:c>
      <x:c r="C24" s="32" t="n">
        <x:f>COUNTIFS('Test Execution'!$C$5:$C$100,A24,'Test Execution'!$N$5:$N$100,"Pass")</x:f>
        <x:v>4</x:v>
      </x:c>
      <x:c r="D24" s="32" t="n">
        <x:f>COUNTIFS('Test Execution'!$C$5:$C$100,A24,'Test Execution'!$N$5:$N$100,"Fail")</x:f>
        <x:v>1</x:v>
      </x:c>
      <x:c r="E24" s="104" t="n">
        <x:f>IF(B24=0,0,C24/B24)</x:f>
        <x:v>0.8</x:v>
      </x:c>
      <x:c r="F24" s="33" t="n">
        <x:f>COUNTIF('Defect Mapping'!$D$5:$D$20,A24)</x:f>
        <x:v>1</x:v>
      </x:c>
    </x:row>
    <x:row r="25">
      <x:c r="A25" s="31" t="str">
        <x:v>Dashboard</x:v>
      </x:c>
      <x:c r="B25" s="32" t="n">
        <x:f>COUNTIF('Test Execution'!$C$5:$C$100,A25)</x:f>
        <x:v>5</x:v>
      </x:c>
      <x:c r="C25" s="32" t="n">
        <x:f>COUNTIFS('Test Execution'!$C$5:$C$100,A25,'Test Execution'!$N$5:$N$100,"Pass")</x:f>
        <x:v>5</x:v>
      </x:c>
      <x:c r="D25" s="32" t="n">
        <x:f>COUNTIFS('Test Execution'!$C$5:$C$100,A25,'Test Execution'!$N$5:$N$100,"Fail")</x:f>
        <x:v>0</x:v>
      </x:c>
      <x:c r="E25" s="104" t="n">
        <x:f>IF(B25=0,0,C25/B25)</x:f>
        <x:v>1</x:v>
      </x:c>
      <x:c r="F25" s="33" t="n">
        <x:f>COUNTIF('Defect Mapping'!$D$5:$D$20,A25)</x:f>
        <x:v>0</x:v>
      </x:c>
    </x:row>
    <x:row r="26">
      <x:c r="A26" s="31" t="str">
        <x:v>Admin</x:v>
      </x:c>
      <x:c r="B26" s="32" t="n">
        <x:f>COUNTIF('Test Execution'!$C$5:$C$100,A26)</x:f>
        <x:v>10</x:v>
      </x:c>
      <x:c r="C26" s="32" t="n">
        <x:f>COUNTIFS('Test Execution'!$C$5:$C$100,A26,'Test Execution'!$N$5:$N$100,"Pass")</x:f>
        <x:v>10</x:v>
      </x:c>
      <x:c r="D26" s="32" t="n">
        <x:f>COUNTIFS('Test Execution'!$C$5:$C$100,A26,'Test Execution'!$N$5:$N$100,"Fail")</x:f>
        <x:v>0</x:v>
      </x:c>
      <x:c r="E26" s="104" t="n">
        <x:f>IF(B26=0,0,C26/B26)</x:f>
        <x:v>1</x:v>
      </x:c>
      <x:c r="F26" s="33" t="n">
        <x:f>COUNTIF('Defect Mapping'!$D$5:$D$20,A26)</x:f>
        <x:v>0</x:v>
      </x:c>
    </x:row>
    <x:row r="27">
      <x:c r="A27" s="31" t="str">
        <x:v>PIM</x:v>
      </x:c>
      <x:c r="B27" s="32" t="n">
        <x:f>COUNTIF('Test Execution'!$C$5:$C$100,A27)</x:f>
        <x:v>16</x:v>
      </x:c>
      <x:c r="C27" s="32" t="n">
        <x:f>COUNTIFS('Test Execution'!$C$5:$C$100,A27,'Test Execution'!$N$5:$N$100,"Pass")</x:f>
        <x:v>16</x:v>
      </x:c>
      <x:c r="D27" s="32" t="n">
        <x:f>COUNTIFS('Test Execution'!$C$5:$C$100,A27,'Test Execution'!$N$5:$N$100,"Fail")</x:f>
        <x:v>0</x:v>
      </x:c>
      <x:c r="E27" s="104" t="n">
        <x:f>IF(B27=0,0,C27/B27)</x:f>
        <x:v>1</x:v>
      </x:c>
      <x:c r="F27" s="33" t="n">
        <x:f>COUNTIF('Defect Mapping'!$D$5:$D$20,A27)</x:f>
        <x:v>0</x:v>
      </x:c>
    </x:row>
    <x:row r="28">
      <x:c r="A28" s="31" t="str">
        <x:v>Leave</x:v>
      </x:c>
      <x:c r="B28" s="32" t="n">
        <x:f>COUNTIF('Test Execution'!$C$5:$C$100,A28)</x:f>
        <x:v>10</x:v>
      </x:c>
      <x:c r="C28" s="32" t="n">
        <x:f>COUNTIFS('Test Execution'!$C$5:$C$100,A28,'Test Execution'!$N$5:$N$100,"Pass")</x:f>
        <x:v>10</x:v>
      </x:c>
      <x:c r="D28" s="32" t="n">
        <x:f>COUNTIFS('Test Execution'!$C$5:$C$100,A28,'Test Execution'!$N$5:$N$100,"Fail")</x:f>
        <x:v>0</x:v>
      </x:c>
      <x:c r="E28" s="104" t="n">
        <x:f>IF(B28=0,0,C28/B28)</x:f>
        <x:v>1</x:v>
      </x:c>
      <x:c r="F28" s="33" t="n">
        <x:f>COUNTIF('Defect Mapping'!$D$5:$D$20,A28)</x:f>
        <x:v>0</x:v>
      </x:c>
    </x:row>
    <x:row r="29">
      <x:c r="A29" s="31" t="str">
        <x:v>Time</x:v>
      </x:c>
      <x:c r="B29" s="32" t="n">
        <x:f>COUNTIF('Test Execution'!$C$5:$C$100,A29)</x:f>
        <x:v>8</x:v>
      </x:c>
      <x:c r="C29" s="32" t="n">
        <x:f>COUNTIFS('Test Execution'!$C$5:$C$100,A29,'Test Execution'!$N$5:$N$100,"Pass")</x:f>
        <x:v>8</x:v>
      </x:c>
      <x:c r="D29" s="32" t="n">
        <x:f>COUNTIFS('Test Execution'!$C$5:$C$100,A29,'Test Execution'!$N$5:$N$100,"Fail")</x:f>
        <x:v>0</x:v>
      </x:c>
      <x:c r="E29" s="104" t="n">
        <x:f>IF(B29=0,0,C29/B29)</x:f>
        <x:v>1</x:v>
      </x:c>
      <x:c r="F29" s="33" t="n">
        <x:f>COUNTIF('Defect Mapping'!$D$5:$D$20,A29)</x:f>
        <x:v>0</x:v>
      </x:c>
    </x:row>
    <x:row r="30">
      <x:c r="A30" s="31" t="str">
        <x:v>Recruitment</x:v>
      </x:c>
      <x:c r="B30" s="32" t="n">
        <x:f>COUNTIF('Test Execution'!$C$5:$C$100,A30)</x:f>
        <x:v>8</x:v>
      </x:c>
      <x:c r="C30" s="32" t="n">
        <x:f>COUNTIFS('Test Execution'!$C$5:$C$100,A30,'Test Execution'!$N$5:$N$100,"Pass")</x:f>
        <x:v>7</x:v>
      </x:c>
      <x:c r="D30" s="32" t="n">
        <x:f>COUNTIFS('Test Execution'!$C$5:$C$100,A30,'Test Execution'!$N$5:$N$100,"Fail")</x:f>
        <x:v>1</x:v>
      </x:c>
      <x:c r="E30" s="104" t="n">
        <x:f>IF(B30=0,0,C30/B30)</x:f>
        <x:v>0.875</x:v>
      </x:c>
      <x:c r="F30" s="33" t="n">
        <x:f>COUNTIF('Defect Mapping'!$D$5:$D$20,A30)</x:f>
        <x:v>1</x:v>
      </x:c>
    </x:row>
    <x:row r="31">
      <x:c r="A31" s="31" t="str">
        <x:v>My Info</x:v>
      </x:c>
      <x:c r="B31" s="32" t="n">
        <x:f>COUNTIF('Test Execution'!$C$5:$C$100,A31)</x:f>
        <x:v>6</x:v>
      </x:c>
      <x:c r="C31" s="32" t="n">
        <x:f>COUNTIFS('Test Execution'!$C$5:$C$100,A31,'Test Execution'!$N$5:$N$100,"Pass")</x:f>
        <x:v>5</x:v>
      </x:c>
      <x:c r="D31" s="32" t="n">
        <x:f>COUNTIFS('Test Execution'!$C$5:$C$100,A31,'Test Execution'!$N$5:$N$100,"Fail")</x:f>
        <x:v>1</x:v>
      </x:c>
      <x:c r="E31" s="104" t="n">
        <x:f>IF(B31=0,0,C31/B31)</x:f>
        <x:v>0.8333333333333334</x:v>
      </x:c>
      <x:c r="F31" s="33" t="n">
        <x:f>COUNTIF('Defect Mapping'!$D$5:$D$20,A31)</x:f>
        <x:v>1</x:v>
      </x:c>
    </x:row>
    <x:row r="32">
      <x:c r="A32" s="31" t="str">
        <x:v>Performance</x:v>
      </x:c>
      <x:c r="B32" s="32" t="n">
        <x:f>COUNTIF('Test Execution'!$C$5:$C$100,A32)</x:f>
        <x:v>5</x:v>
      </x:c>
      <x:c r="C32" s="32" t="n">
        <x:f>COUNTIFS('Test Execution'!$C$5:$C$100,A32,'Test Execution'!$N$5:$N$100,"Pass")</x:f>
        <x:v>5</x:v>
      </x:c>
      <x:c r="D32" s="32" t="n">
        <x:f>COUNTIFS('Test Execution'!$C$5:$C$100,A32,'Test Execution'!$N$5:$N$100,"Fail")</x:f>
        <x:v>0</x:v>
      </x:c>
      <x:c r="E32" s="104" t="n">
        <x:f>IF(B32=0,0,C32/B32)</x:f>
        <x:v>1</x:v>
      </x:c>
      <x:c r="F32" s="33" t="n">
        <x:f>COUNTIF('Defect Mapping'!$D$5:$D$20,A32)</x:f>
        <x:v>0</x:v>
      </x:c>
    </x:row>
    <x:row r="33">
      <x:c r="A33" s="31" t="str">
        <x:v>Directory</x:v>
      </x:c>
      <x:c r="B33" s="32" t="n">
        <x:f>COUNTIF('Test Execution'!$C$5:$C$100,A33)</x:f>
        <x:v>4</x:v>
      </x:c>
      <x:c r="C33" s="32" t="n">
        <x:f>COUNTIFS('Test Execution'!$C$5:$C$100,A33,'Test Execution'!$N$5:$N$100,"Pass")</x:f>
        <x:v>4</x:v>
      </x:c>
      <x:c r="D33" s="32" t="n">
        <x:f>COUNTIFS('Test Execution'!$C$5:$C$100,A33,'Test Execution'!$N$5:$N$100,"Fail")</x:f>
        <x:v>0</x:v>
      </x:c>
      <x:c r="E33" s="104" t="n">
        <x:f>IF(B33=0,0,C33/B33)</x:f>
        <x:v>1</x:v>
      </x:c>
      <x:c r="F33" s="33" t="n">
        <x:f>COUNTIF('Defect Mapping'!$D$5:$D$20,A33)</x:f>
        <x:v>0</x:v>
      </x:c>
    </x:row>
    <x:row r="34">
      <x:c r="A34" s="31" t="str">
        <x:v>Buzz</x:v>
      </x:c>
      <x:c r="B34" s="32" t="n">
        <x:f>COUNTIF('Test Execution'!$C$5:$C$100,A34)</x:f>
        <x:v>3</x:v>
      </x:c>
      <x:c r="C34" s="32" t="n">
        <x:f>COUNTIFS('Test Execution'!$C$5:$C$100,A34,'Test Execution'!$N$5:$N$100,"Pass")</x:f>
        <x:v>3</x:v>
      </x:c>
      <x:c r="D34" s="32" t="n">
        <x:f>COUNTIFS('Test Execution'!$C$5:$C$100,A34,'Test Execution'!$N$5:$N$100,"Fail")</x:f>
        <x:v>0</x:v>
      </x:c>
      <x:c r="E34" s="104" t="n">
        <x:f>IF(B34=0,0,C34/B34)</x:f>
        <x:v>1</x:v>
      </x:c>
      <x:c r="F34" s="33" t="n">
        <x:f>COUNTIF('Defect Mapping'!$D$5:$D$20,A34)</x:f>
        <x:v>0</x:v>
      </x:c>
    </x:row>
    <x:row r="35">
      <x:c r="A35" s="34" t="str">
        <x:v>Session</x:v>
      </x:c>
      <x:c r="B35" s="35" t="n">
        <x:f>COUNTIF('Test Execution'!$C$5:$C$100,A35)</x:f>
        <x:v>4</x:v>
      </x:c>
      <x:c r="C35" s="35" t="n">
        <x:f>COUNTIFS('Test Execution'!$C$5:$C$100,A35,'Test Execution'!$N$5:$N$100,"Pass")</x:f>
        <x:v>4</x:v>
      </x:c>
      <x:c r="D35" s="35" t="n">
        <x:f>COUNTIFS('Test Execution'!$C$5:$C$100,A35,'Test Execution'!$N$5:$N$100,"Fail")</x:f>
        <x:v>0</x:v>
      </x:c>
      <x:c r="E35" s="105" t="n">
        <x:f>IF(B35=0,0,C35/B35)</x:f>
        <x:v>1</x:v>
      </x:c>
      <x:c r="F35" s="36" t="n">
        <x:f>COUNTIF('Defect Mapping'!$D$5:$D$20,A35)</x:f>
        <x:v>0</x:v>
      </x:c>
    </x:row>
  </x:sheetData>
  <x:mergeCells>
    <x:mergeCell ref="A1:N1"/>
    <x:mergeCell ref="A2:N2"/>
    <x:mergeCell ref="A15:N15"/>
    <x:mergeCell ref="A16:N19"/>
  </x:mergeCells>
  <x:conditionalFormatting sqref="D23:D35">
    <x:cfRule type="expression" dxfId="5" priority="1">
      <x:formula>D23&gt;0</x:formula>
    </x:cfRule>
  </x:conditionalFormatting>
  <x:pageMargins left="0.7" right="0.7" top="0.75" bottom="0.75" header="0.3" footer="0.3"/>
  <x:drawing xmlns:r="http://schemas.openxmlformats.org/officeDocument/2006/relationships" r:id="Rfcea9ed557194f9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23" hidden="0" customWidth="1"/>
    <x:col min="5" max="5" width="38" hidden="0" customWidth="1"/>
    <x:col min="6" max="6" width="40" hidden="0" customWidth="1"/>
    <x:col min="7" max="7" width="44" hidden="0" customWidth="1"/>
    <x:col min="8" max="8" width="28" hidden="0" customWidth="1"/>
    <x:col min="9" max="9" width="40" hidden="0" customWidth="1"/>
    <x:col min="10" max="10" width="40" hidden="0" customWidth="1"/>
    <x:col min="11" max="11" width="11" hidden="0" customWidth="1"/>
    <x:col min="12" max="12" width="11" hidden="0" customWidth="1"/>
    <x:col min="13" max="13" width="21" hidden="0" customWidth="1"/>
    <x:col min="14" max="14" width="13" hidden="0" customWidth="1"/>
    <x:col min="15" max="15" width="46" hidden="0" customWidth="1"/>
  </x:cols>
  <x:sheetData>
    <x:row r="1" ht="28" customHeight="1">
      <x:c r="A1" s="5" t="str">
        <x:v>OrangeHRM — Test Execution Report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8" customHeight="1">
      <x:c r="A2" s="13" t="str">
        <x:v>Canonical 96-case execution baseline | Historical source results retained | Execution metadata not present in source evidence is not fabricated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38" customHeight="1">
      <x:c r="A4" s="22" t="str">
        <x:v>Requirement ID</x:v>
      </x:c>
      <x:c r="B4" s="22" t="str">
        <x:v>Test Case ID</x:v>
      </x:c>
      <x:c r="C4" s="22" t="str">
        <x:v>Module</x:v>
      </x:c>
      <x:c r="D4" s="22" t="str">
        <x:v>Feature</x:v>
      </x:c>
      <x:c r="E4" s="22" t="str">
        <x:v>Test Scenario</x:v>
      </x:c>
      <x:c r="F4" s="22" t="str">
        <x:v>Preconditions</x:v>
      </x:c>
      <x:c r="G4" s="22" t="str">
        <x:v>Test Steps</x:v>
      </x:c>
      <x:c r="H4" s="22" t="str">
        <x:v>Test Data</x:v>
      </x:c>
      <x:c r="I4" s="22" t="str">
        <x:v>Expected Result</x:v>
      </x:c>
      <x:c r="J4" s="22" t="str">
        <x:v>Actual Result</x:v>
      </x:c>
      <x:c r="K4" s="22" t="str">
        <x:v>Priority</x:v>
      </x:c>
      <x:c r="L4" s="22" t="str">
        <x:v>Severity</x:v>
      </x:c>
      <x:c r="M4" s="22" t="str">
        <x:v>Type</x:v>
      </x:c>
      <x:c r="N4" s="22" t="str">
        <x:v>Status</x:v>
      </x:c>
      <x:c r="O4" s="22" t="str">
        <x:v>Comments</x:v>
      </x:c>
    </x:row>
    <x:row r="5">
      <x:c r="A5" s="63" t="str">
        <x:v>RQ-LGN-001</x:v>
      </x:c>
      <x:c r="B5" s="64" t="str">
        <x:v>TC-LGN-001</x:v>
      </x:c>
      <x:c r="C5" s="64" t="str">
        <x:v>Login</x:v>
      </x:c>
      <x:c r="D5" s="64" t="str">
        <x:v>Login Page</x:v>
      </x:c>
      <x:c r="E5" s="64" t="str">
        <x:v>TS-LGN-001 — Verify login page loads correctly</x:v>
      </x:c>
      <x:c r="F5" s="64" t="str">
        <x:v>OrangeHRM Demo login page is reachable and the user is logged out.</x:v>
      </x:c>
      <x:c r="G5" s="64" t="str">
        <x:v>1. Navigate to application URL.</x:v>
      </x:c>
      <x:c r="H5" s="64" t="str">
        <x:v>N/A</x:v>
      </x:c>
      <x:c r="I5" s="64" t="str">
        <x:v>Login page displays with Username, Password fields, Login button, OrangeHRM logo.</x:v>
      </x:c>
      <x:c r="J5" s="64" t="str">
        <x:v>Not recorded in source workbook (historical status: Pass).</x:v>
      </x:c>
      <x:c r="K5" s="64" t="str">
        <x:v>High</x:v>
      </x:c>
      <x:c r="L5" s="64" t="str">
        <x:v>High</x:v>
      </x:c>
      <x:c r="M5" s="64" t="str">
        <x:v>UI / Navigation</x:v>
      </x:c>
      <x:c r="N5" s="64" t="str">
        <x:v>Pass</x:v>
      </x:c>
      <x:c r="O5" s="65" t="str">
        <x:v>Regression sequence 01/96. Full-regression case retained from the Deliverable 3 canonical functional suite. Legacy ID: TC_LOGIN_001. Historical source status retained; detailed execution evidence was not recorded.</x:v>
      </x:c>
    </x:row>
    <x:row r="6">
      <x:c r="A6" s="66" t="str">
        <x:v>RQ-LGN-002</x:v>
      </x:c>
      <x:c r="B6" s="67" t="str">
        <x:v>TC-LGN-002</x:v>
      </x:c>
      <x:c r="C6" s="67" t="str">
        <x:v>Login</x:v>
      </x:c>
      <x:c r="D6" s="67" t="str">
        <x:v>Authentication</x:v>
      </x:c>
      <x:c r="E6" s="67" t="str">
        <x:v>TS-LGN-002 — Verify successful login with valid credentials</x:v>
      </x:c>
      <x:c r="F6" s="67" t="str">
        <x:v>OrangeHRM Demo login page is reachable; active Admin credentials are available; user is logged out.</x:v>
      </x:c>
      <x:c r="G6" s="67" t="str">
        <x:v>1. Enter valid username.
2. Enter valid password.
3. Click Login.</x:v>
      </x:c>
      <x:c r="H6" s="67" t="str">
        <x:v>Admin/admin123</x:v>
      </x:c>
      <x:c r="I6" s="67" t="str">
        <x:v>User redirected to Dashboard page.</x:v>
      </x:c>
      <x:c r="J6" s="67" t="str">
        <x:v>Not recorded in source workbook (historical status: Pass).</x:v>
      </x:c>
      <x:c r="K6" s="67" t="str">
        <x:v>High</x:v>
      </x:c>
      <x:c r="L6" s="67" t="str">
        <x:v>Critical</x:v>
      </x:c>
      <x:c r="M6" s="67" t="str">
        <x:v>Functional - Positive</x:v>
      </x:c>
      <x:c r="N6" s="67" t="str">
        <x:v>Pass</x:v>
      </x:c>
      <x:c r="O6" s="68" t="str">
        <x:v>Regression sequence 02/96. Full-regression case retained from the Deliverable 3 canonical functional suite. Legacy ID: TC_LOGIN_002. Historical source status retained; detailed execution evidence was not recorded.</x:v>
      </x:c>
    </x:row>
    <x:row r="7">
      <x:c r="A7" s="66" t="str">
        <x:v>RQ-LGN-003</x:v>
      </x:c>
      <x:c r="B7" s="67" t="str">
        <x:v>TC-LGN-003</x:v>
      </x:c>
      <x:c r="C7" s="67" t="str">
        <x:v>Login</x:v>
      </x:c>
      <x:c r="D7" s="67" t="str">
        <x:v>Authentication</x:v>
      </x:c>
      <x:c r="E7" s="67" t="str">
        <x:v>TS-LGN-003 — Verify login fails with invalid username</x:v>
      </x:c>
      <x:c r="F7" s="67" t="str">
        <x:v>OrangeHRM Demo login page is reachable; a valid password is available; user is logged out.</x:v>
      </x:c>
      <x:c r="G7" s="67" t="str">
        <x:v>1. Enter invalid username.
2. Enter valid password.
3. Click Login.</x:v>
      </x:c>
      <x:c r="H7" s="67" t="str">
        <x:v>wronguser/admin123</x:v>
      </x:c>
      <x:c r="I7" s="67" t="str">
        <x:v>Error message "Invalid credentials" displayed.</x:v>
      </x:c>
      <x:c r="J7" s="67" t="str">
        <x:v>Not recorded in source workbook (historical status: Pass).</x:v>
      </x:c>
      <x:c r="K7" s="67" t="str">
        <x:v>High</x:v>
      </x:c>
      <x:c r="L7" s="67" t="str">
        <x:v>High</x:v>
      </x:c>
      <x:c r="M7" s="67" t="str">
        <x:v>Functional - Negative</x:v>
      </x:c>
      <x:c r="N7" s="67" t="str">
        <x:v>Pass</x:v>
      </x:c>
      <x:c r="O7" s="68" t="str">
        <x:v>Regression sequence 03/96. Full-regression case retained from the Deliverable 3 canonical functional suite. Legacy ID: TC_LOGIN_003. Historical source status retained; detailed execution evidence was not recorded.</x:v>
      </x:c>
    </x:row>
    <x:row r="8">
      <x:c r="A8" s="66" t="str">
        <x:v>RQ-LGN-003</x:v>
      </x:c>
      <x:c r="B8" s="67" t="str">
        <x:v>TC-LGN-004</x:v>
      </x:c>
      <x:c r="C8" s="67" t="str">
        <x:v>Login</x:v>
      </x:c>
      <x:c r="D8" s="67" t="str">
        <x:v>Authentication</x:v>
      </x:c>
      <x:c r="E8" s="67" t="str">
        <x:v>TS-LGN-003 — Verify login fails with invalid password</x:v>
      </x:c>
      <x:c r="F8" s="67" t="str">
        <x:v>OrangeHRM Demo login page is reachable; a valid username is available; user is logged out.</x:v>
      </x:c>
      <x:c r="G8" s="67" t="str">
        <x:v>1. Enter valid username.
2. Enter invalid password.
3. Click Login.</x:v>
      </x:c>
      <x:c r="H8" s="67" t="str">
        <x:v>Admin/wrongpass</x:v>
      </x:c>
      <x:c r="I8" s="67" t="str">
        <x:v>Error message "Invalid credentials" displayed.</x:v>
      </x:c>
      <x:c r="J8" s="67" t="str">
        <x:v>Not recorded in source workbook (historical status: Pass).</x:v>
      </x:c>
      <x:c r="K8" s="67" t="str">
        <x:v>High</x:v>
      </x:c>
      <x:c r="L8" s="67" t="str">
        <x:v>High</x:v>
      </x:c>
      <x:c r="M8" s="67" t="str">
        <x:v>Functional - Negative</x:v>
      </x:c>
      <x:c r="N8" s="67" t="str">
        <x:v>Pass</x:v>
      </x:c>
      <x:c r="O8" s="68" t="str">
        <x:v>Regression sequence 04/96. Full-regression case retained from the Deliverable 3 canonical functional suite. Legacy ID: TC_LOGIN_004. Historical source status retained; detailed execution evidence was not recorded.</x:v>
      </x:c>
    </x:row>
    <x:row r="9">
      <x:c r="A9" s="66" t="str">
        <x:v>RQ-LGN-004</x:v>
      </x:c>
      <x:c r="B9" s="67" t="str">
        <x:v>TC-LGN-005</x:v>
      </x:c>
      <x:c r="C9" s="67" t="str">
        <x:v>Login</x:v>
      </x:c>
      <x:c r="D9" s="67" t="str">
        <x:v>Required Field Validation</x:v>
      </x:c>
      <x:c r="E9" s="67" t="str">
        <x:v>TS-LGN-004 — Verify login fails with blank username and password</x:v>
      </x:c>
      <x:c r="F9" s="67" t="str">
        <x:v>OrangeHRM Demo login page is reachable and the user is logged out.</x:v>
      </x:c>
      <x:c r="G9" s="67" t="str">
        <x:v>1. Leave both fields empty.
2. Click Login.</x:v>
      </x:c>
      <x:c r="H9" s="67" t="str">
        <x:v>N/A</x:v>
      </x:c>
      <x:c r="I9" s="67" t="str">
        <x:v>Required validation messages appear under both fields.</x:v>
      </x:c>
      <x:c r="J9" s="67" t="str">
        <x:v>Not recorded in source workbook (historical status: Pass).</x:v>
      </x:c>
      <x:c r="K9" s="67" t="str">
        <x:v>High</x:v>
      </x:c>
      <x:c r="L9" s="67" t="str">
        <x:v>High</x:v>
      </x:c>
      <x:c r="M9" s="67" t="str">
        <x:v>Functional - Negative</x:v>
      </x:c>
      <x:c r="N9" s="67" t="str">
        <x:v>Pass</x:v>
      </x:c>
      <x:c r="O9" s="68" t="str">
        <x:v>Regression sequence 05/96. Full-regression case retained from the Deliverable 3 canonical functional suite. Legacy ID: TC_LOGIN_005. Historical source status retained; detailed execution evidence was not recorded.</x:v>
      </x:c>
    </x:row>
    <x:row r="10">
      <x:c r="A10" s="66" t="str">
        <x:v>RQ-LGN-004</x:v>
      </x:c>
      <x:c r="B10" s="67" t="str">
        <x:v>TC-LGN-006</x:v>
      </x:c>
      <x:c r="C10" s="67" t="str">
        <x:v>Login</x:v>
      </x:c>
      <x:c r="D10" s="67" t="str">
        <x:v>Required Field Validation</x:v>
      </x:c>
      <x:c r="E10" s="67" t="str">
        <x:v>TS-LGN-004 — Verify login fails with blank username only</x:v>
      </x:c>
      <x:c r="F10" s="67" t="str">
        <x:v>OrangeHRM Demo login page is reachable and the user is logged out.</x:v>
      </x:c>
      <x:c r="G10" s="67" t="str">
        <x:v>1. Leave username blank.
2. Enter valid password.
3. Click Login.</x:v>
      </x:c>
      <x:c r="H10" s="67" t="str">
        <x:v>Password only</x:v>
      </x:c>
      <x:c r="I10" s="67" t="str">
        <x:v>Required message under Username field.</x:v>
      </x:c>
      <x:c r="J10" s="67" t="str">
        <x:v>Not recorded in source workbook (historical status: Pass).</x:v>
      </x:c>
      <x:c r="K10" s="67" t="str">
        <x:v>Medium</x:v>
      </x:c>
      <x:c r="L10" s="67" t="str">
        <x:v>Medium</x:v>
      </x:c>
      <x:c r="M10" s="67" t="str">
        <x:v>Functional - Negative</x:v>
      </x:c>
      <x:c r="N10" s="67" t="str">
        <x:v>Pass</x:v>
      </x:c>
      <x:c r="O10" s="68" t="str">
        <x:v>Regression sequence 06/96. Full-regression case retained from the Deliverable 3 canonical functional suite. Legacy ID: TC_LOGIN_006. Historical source status retained; detailed execution evidence was not recorded.</x:v>
      </x:c>
    </x:row>
    <x:row r="11">
      <x:c r="A11" s="66" t="str">
        <x:v>RQ-LGN-004</x:v>
      </x:c>
      <x:c r="B11" s="67" t="str">
        <x:v>TC-LGN-007</x:v>
      </x:c>
      <x:c r="C11" s="67" t="str">
        <x:v>Login</x:v>
      </x:c>
      <x:c r="D11" s="67" t="str">
        <x:v>Required Field Validation</x:v>
      </x:c>
      <x:c r="E11" s="67" t="str">
        <x:v>TS-LGN-004 — Verify login fails with blank password only</x:v>
      </x:c>
      <x:c r="F11" s="67" t="str">
        <x:v>OrangeHRM Demo login page is reachable and the user is logged out.</x:v>
      </x:c>
      <x:c r="G11" s="67" t="str">
        <x:v>1. Enter valid username.
2. Leave password blank.
3. Click Login.</x:v>
      </x:c>
      <x:c r="H11" s="67" t="str">
        <x:v>Username only</x:v>
      </x:c>
      <x:c r="I11" s="67" t="str">
        <x:v>Required message under Password field.</x:v>
      </x:c>
      <x:c r="J11" s="67" t="str">
        <x:v>Not recorded in source workbook (historical status: Pass).</x:v>
      </x:c>
      <x:c r="K11" s="67" t="str">
        <x:v>Medium</x:v>
      </x:c>
      <x:c r="L11" s="67" t="str">
        <x:v>Medium</x:v>
      </x:c>
      <x:c r="M11" s="67" t="str">
        <x:v>Functional - Negative</x:v>
      </x:c>
      <x:c r="N11" s="67" t="str">
        <x:v>Pass</x:v>
      </x:c>
      <x:c r="O11" s="68" t="str">
        <x:v>Regression sequence 07/96. Full-regression case retained from the Deliverable 3 canonical functional suite. Legacy ID: TC_LOGIN_007. Historical source status retained; detailed execution evidence was not recorded.</x:v>
      </x:c>
    </x:row>
    <x:row r="12">
      <x:c r="A12" s="66" t="str">
        <x:v>RQ-LGN-005</x:v>
      </x:c>
      <x:c r="B12" s="67" t="str">
        <x:v>TC-LGN-008</x:v>
      </x:c>
      <x:c r="C12" s="67" t="str">
        <x:v>Login</x:v>
      </x:c>
      <x:c r="D12" s="67" t="str">
        <x:v>Password Masking</x:v>
      </x:c>
      <x:c r="E12" s="67" t="str">
        <x:v>TS-LGN-005 — Verify password field masks entered characters</x:v>
      </x:c>
      <x:c r="F12" s="67" t="str">
        <x:v>OrangeHRM Demo login page is reachable and the user is logged out.</x:v>
      </x:c>
      <x:c r="G12" s="67" t="str">
        <x:v>1. Click Password field.
2. Enter password.</x:v>
      </x:c>
      <x:c r="H12" s="67" t="str">
        <x:v>admin123</x:v>
      </x:c>
      <x:c r="I12" s="67" t="str">
        <x:v>Characters displayed as dots/asterisks.</x:v>
      </x:c>
      <x:c r="J12" s="67" t="str">
        <x:v>Not recorded in source workbook (historical status: Pass).</x:v>
      </x:c>
      <x:c r="K12" s="67" t="str">
        <x:v>Medium</x:v>
      </x:c>
      <x:c r="L12" s="67" t="str">
        <x:v>Medium</x:v>
      </x:c>
      <x:c r="M12" s="67" t="str">
        <x:v>Functional - Positive</x:v>
      </x:c>
      <x:c r="N12" s="67" t="str">
        <x:v>Pass</x:v>
      </x:c>
      <x:c r="O12" s="68" t="str">
        <x:v>Regression sequence 08/96. Full-regression case retained from the Deliverable 3 canonical functional suite. Legacy ID: TC_LOGIN_008. Historical source status retained; detailed execution evidence was not recorded.</x:v>
      </x:c>
    </x:row>
    <x:row r="13">
      <x:c r="A13" s="66" t="str">
        <x:v>RQ-LGN-006</x:v>
      </x:c>
      <x:c r="B13" s="67" t="str">
        <x:v>TC-LGN-009</x:v>
      </x:c>
      <x:c r="C13" s="67" t="str">
        <x:v>Login</x:v>
      </x:c>
      <x:c r="D13" s="67" t="str">
        <x:v>Authentication Security</x:v>
      </x:c>
      <x:c r="E13" s="67" t="str">
        <x:v>TS-LGN-006 — Verify SQL injection attempt in login fields</x:v>
      </x:c>
      <x:c r="F13" s="67" t="str">
        <x:v>OrangeHRM Demo login page is reachable and the user is logged out.</x:v>
      </x:c>
      <x:c r="G13" s="67" t="str">
        <x:v>1. Enter ' OR '1'='1 in username/password.
2. Click Login.</x:v>
      </x:c>
      <x:c r="H13" s="67" t="str">
        <x:v>SQL injection string</x:v>
      </x:c>
      <x:c r="I13" s="67" t="str">
        <x:v>Login rejected, no unauthorized access, error shown.</x:v>
      </x:c>
      <x:c r="J13" s="67" t="str">
        <x:v>Not recorded in source workbook (historical status: Pass).</x:v>
      </x:c>
      <x:c r="K13" s="67" t="str">
        <x:v>High</x:v>
      </x:c>
      <x:c r="L13" s="67" t="str">
        <x:v>Critical</x:v>
      </x:c>
      <x:c r="M13" s="67" t="str">
        <x:v>Security-Oriented</x:v>
      </x:c>
      <x:c r="N13" s="67" t="str">
        <x:v>Pass</x:v>
      </x:c>
      <x:c r="O13" s="68" t="str">
        <x:v>Regression sequence 09/96. Full-regression case retained from the Deliverable 3 canonical functional suite. Legacy ID: TC_LOGIN_009. Historical source status retained; detailed execution evidence was not recorded.</x:v>
      </x:c>
    </x:row>
    <x:row r="14">
      <x:c r="A14" s="66" t="str">
        <x:v>RQ-LGN-007</x:v>
      </x:c>
      <x:c r="B14" s="67" t="str">
        <x:v>TC-LGN-010</x:v>
      </x:c>
      <x:c r="C14" s="67" t="str">
        <x:v>Login</x:v>
      </x:c>
      <x:c r="D14" s="67" t="str">
        <x:v>Form Submission</x:v>
      </x:c>
      <x:c r="E14" s="67" t="str">
        <x:v>TS-LGN-007 — Verify login button is disabled/no action on empty form double-click</x:v>
      </x:c>
      <x:c r="F14" s="67" t="str">
        <x:v>OrangeHRM Demo login page is reachable and the user is logged out.</x:v>
      </x:c>
      <x:c r="G14" s="67" t="str">
        <x:v>1. Leave fields empty.
2. Double-click Login rapidly.</x:v>
      </x:c>
      <x:c r="H14" s="67" t="str">
        <x:v>N/A</x:v>
      </x:c>
      <x:c r="I14" s="67" t="str">
        <x:v>No duplicate submission or application error.</x:v>
      </x:c>
      <x:c r="J14" s="67" t="str">
        <x:v>Not recorded in source workbook (historical status: Pass).</x:v>
      </x:c>
      <x:c r="K14" s="67" t="str">
        <x:v>Low</x:v>
      </x:c>
      <x:c r="L14" s="67" t="str">
        <x:v>Low</x:v>
      </x:c>
      <x:c r="M14" s="67" t="str">
        <x:v>Functional - Negative</x:v>
      </x:c>
      <x:c r="N14" s="67" t="str">
        <x:v>Pass</x:v>
      </x:c>
      <x:c r="O14" s="68" t="str">
        <x:v>Regression sequence 10/96. Full-regression case retained from the Deliverable 3 canonical functional suite. Legacy ID: TC_LOGIN_010. Historical source status retained; detailed execution evidence was not recorded.</x:v>
      </x:c>
    </x:row>
    <x:row r="15">
      <x:c r="A15" s="66" t="str">
        <x:v>RQ-LGN-008</x:v>
      </x:c>
      <x:c r="B15" s="67" t="str">
        <x:v>TC-LGN-011</x:v>
      </x:c>
      <x:c r="C15" s="67" t="str">
        <x:v>Login</x:v>
      </x:c>
      <x:c r="D15" s="67" t="str">
        <x:v>Password Recovery Navigation</x:v>
      </x:c>
      <x:c r="E15" s="67" t="str">
        <x:v>TS-LGN-008 — Verify Forgot your password link is functional</x:v>
      </x:c>
      <x:c r="F15" s="67" t="str">
        <x:v>OrangeHRM Demo login page is reachable and the user is logged out.</x:v>
      </x:c>
      <x:c r="G15" s="67" t="str">
        <x:v>1. Click Forgot your password link.</x:v>
      </x:c>
      <x:c r="H15" s="67" t="str">
        <x:v>N/A</x:v>
      </x:c>
      <x:c r="I15" s="67" t="str">
        <x:v>User navigated to password reset page.</x:v>
      </x:c>
      <x:c r="J15" s="67" t="str">
        <x:v>Not recorded in source workbook (historical status: Pass).</x:v>
      </x:c>
      <x:c r="K15" s="67" t="str">
        <x:v>Medium</x:v>
      </x:c>
      <x:c r="L15" s="67" t="str">
        <x:v>Medium</x:v>
      </x:c>
      <x:c r="M15" s="67" t="str">
        <x:v>UI / Navigation</x:v>
      </x:c>
      <x:c r="N15" s="67" t="str">
        <x:v>Pass</x:v>
      </x:c>
      <x:c r="O15" s="68" t="str">
        <x:v>Regression sequence 11/96. Full-regression case retained from the Deliverable 3 canonical functional suite. Legacy ID: TC_LOGIN_011. Historical source status retained; detailed execution evidence was not recorded.</x:v>
      </x:c>
    </x:row>
    <x:row r="16">
      <x:c r="A16" s="66" t="str">
        <x:v>RQ-LGN-009</x:v>
      </x:c>
      <x:c r="B16" s="67" t="str">
        <x:v>TC-LGN-012</x:v>
      </x:c>
      <x:c r="C16" s="67" t="str">
        <x:v>Login</x:v>
      </x:c>
      <x:c r="D16" s="67" t="str">
        <x:v>Credential Case Sensitivity</x:v>
      </x:c>
      <x:c r="E16" s="67" t="str">
        <x:v>TS-LGN-009 — Verify case sensitivity of username/password</x:v>
      </x:c>
      <x:c r="F16" s="67" t="str">
        <x:v>OrangeHRM Demo login page is reachable; active credentials with known letter casing are available; user is logged out.</x:v>
      </x:c>
      <x:c r="G16" s="67" t="str">
        <x:v>1. Enter username/password in different case.</x:v>
      </x:c>
      <x:c r="H16" s="67" t="str">
        <x:v>ADMIN/ADMIN123</x:v>
      </x:c>
      <x:c r="I16" s="67" t="str">
        <x:v>Login fails if credentials are case-sensitive.</x:v>
      </x:c>
      <x:c r="J16" s="67" t="str">
        <x:v>Not recorded in source workbook (historical status: Fail).</x:v>
      </x:c>
      <x:c r="K16" s="67" t="str">
        <x:v>Medium</x:v>
      </x:c>
      <x:c r="L16" s="67" t="str">
        <x:v>Medium</x:v>
      </x:c>
      <x:c r="M16" s="67" t="str">
        <x:v>Functional - Negative</x:v>
      </x:c>
      <x:c r="N16" s="67" t="str">
        <x:v>Fail</x:v>
      </x:c>
      <x:c r="O16" s="68" t="str">
        <x:v>Regression sequence 12/96. Full-regression case retained from the Deliverable 3 canonical functional suite. Legacy ID: TC_LOGIN_012. Source failure retained; controlled triage is required before defect confirmation. Linked defect: BUG-001. Status retained from historical source baseline; formal reproduction/evidence remains pending.</x:v>
      </x:c>
    </x:row>
    <x:row r="17">
      <x:c r="A17" s="66" t="str">
        <x:v>RQ-FGP-001</x:v>
      </x:c>
      <x:c r="B17" s="67" t="str">
        <x:v>TC-FGP-001</x:v>
      </x:c>
      <x:c r="C17" s="67" t="str">
        <x:v>Forgot Password</x:v>
      </x:c>
      <x:c r="D17" s="67" t="str">
        <x:v>Reset Password Page</x:v>
      </x:c>
      <x:c r="E17" s="67" t="str">
        <x:v>TS-FGP-001 — Verify reset password page loads</x:v>
      </x:c>
      <x:c r="F17" s="67" t="str">
        <x:v>OrangeHRM Demo login page is reachable and the user is logged out.</x:v>
      </x:c>
      <x:c r="G17" s="67" t="str">
        <x:v>1. Click Forgot your password link.</x:v>
      </x:c>
      <x:c r="H17" s="67" t="str">
        <x:v>N/A</x:v>
      </x:c>
      <x:c r="I17" s="67" t="str">
        <x:v>Reset Password page with Username field displayed.</x:v>
      </x:c>
      <x:c r="J17" s="67" t="str">
        <x:v>Not recorded in source workbook (historical status: Pass).</x:v>
      </x:c>
      <x:c r="K17" s="67" t="str">
        <x:v>Medium</x:v>
      </x:c>
      <x:c r="L17" s="67" t="str">
        <x:v>Medium</x:v>
      </x:c>
      <x:c r="M17" s="67" t="str">
        <x:v>UI / Navigation</x:v>
      </x:c>
      <x:c r="N17" s="67" t="str">
        <x:v>Pass</x:v>
      </x:c>
      <x:c r="O17" s="68" t="str">
        <x:v>Regression sequence 13/96. Full-regression case retained from the Deliverable 3 canonical functional suite. Legacy ID: TC_FP_001. Historical source status retained; detailed execution evidence was not recorded.</x:v>
      </x:c>
    </x:row>
    <x:row r="18">
      <x:c r="A18" s="66" t="str">
        <x:v>RQ-FGP-002</x:v>
      </x:c>
      <x:c r="B18" s="67" t="str">
        <x:v>TC-FGP-002</x:v>
      </x:c>
      <x:c r="C18" s="67" t="str">
        <x:v>Forgot Password</x:v>
      </x:c>
      <x:c r="D18" s="67" t="str">
        <x:v>Reset Request</x:v>
      </x:c>
      <x:c r="E18" s="67" t="str">
        <x:v>TS-FGP-002 — Verify password reset request with valid username</x:v>
      </x:c>
      <x:c r="F18" s="67" t="str">
        <x:v>Reset Password page is open and a registered username is available.</x:v>
      </x:c>
      <x:c r="G18" s="67" t="str">
        <x:v>1. Enter registered username.
2. Click Reset Password.</x:v>
      </x:c>
      <x:c r="H18" s="67" t="str">
        <x:v>Admin</x:v>
      </x:c>
      <x:c r="I18" s="67" t="str">
        <x:v>Confirmation message "Reset Password link sent successfully".</x:v>
      </x:c>
      <x:c r="J18" s="67" t="str">
        <x:v>Not recorded in source workbook (historical status: Pass).</x:v>
      </x:c>
      <x:c r="K18" s="67" t="str">
        <x:v>High</x:v>
      </x:c>
      <x:c r="L18" s="67" t="str">
        <x:v>High</x:v>
      </x:c>
      <x:c r="M18" s="67" t="str">
        <x:v>Functional - Positive</x:v>
      </x:c>
      <x:c r="N18" s="67" t="str">
        <x:v>Pass</x:v>
      </x:c>
      <x:c r="O18" s="68" t="str">
        <x:v>Regression sequence 14/96. Full-regression case retained from the Deliverable 3 canonical functional suite. Legacy ID: TC_FP_002. Historical source status retained; detailed execution evidence was not recorded.</x:v>
      </x:c>
    </x:row>
    <x:row r="19">
      <x:c r="A19" s="66" t="str">
        <x:v>RQ-FGP-003</x:v>
      </x:c>
      <x:c r="B19" s="67" t="str">
        <x:v>TC-FGP-003</x:v>
      </x:c>
      <x:c r="C19" s="67" t="str">
        <x:v>Forgot Password</x:v>
      </x:c>
      <x:c r="D19" s="67" t="str">
        <x:v>Account Privacy</x:v>
      </x:c>
      <x:c r="E19" s="67" t="str">
        <x:v>TS-FGP-003 — Verify password reset request with invalid username</x:v>
      </x:c>
      <x:c r="F19" s="67" t="str">
        <x:v>Reset Password page is open and a deliberately unregistered username is available.</x:v>
      </x:c>
      <x:c r="G19" s="67" t="str">
        <x:v>1. Enter unregistered username.
2. Click Reset Password.</x:v>
      </x:c>
      <x:c r="H19" s="67" t="str">
        <x:v>invaliduser123</x:v>
      </x:c>
      <x:c r="I19" s="67" t="str">
        <x:v>Appropriate message displayed without exposing user existence.</x:v>
      </x:c>
      <x:c r="J19" s="67" t="str">
        <x:v>Not recorded in source workbook (historical status: Fail).</x:v>
      </x:c>
      <x:c r="K19" s="67" t="str">
        <x:v>Medium</x:v>
      </x:c>
      <x:c r="L19" s="67" t="str">
        <x:v>High</x:v>
      </x:c>
      <x:c r="M19" s="67" t="str">
        <x:v>Security-Oriented</x:v>
      </x:c>
      <x:c r="N19" s="67" t="str">
        <x:v>Fail</x:v>
      </x:c>
      <x:c r="O19" s="68" t="str">
        <x:v>Regression sequence 15/96. Full-regression case retained from the Deliverable 3 canonical functional suite. Legacy ID: TC_FP_003. Source failure retained; controlled triage is required before defect confirmation. Linked defect: BUG-002. Status retained from historical source baseline; formal reproduction/evidence remains pending.</x:v>
      </x:c>
    </x:row>
    <x:row r="20">
      <x:c r="A20" s="66" t="str">
        <x:v>RQ-FGP-004</x:v>
      </x:c>
      <x:c r="B20" s="67" t="str">
        <x:v>TC-FGP-004</x:v>
      </x:c>
      <x:c r="C20" s="67" t="str">
        <x:v>Forgot Password</x:v>
      </x:c>
      <x:c r="D20" s="67" t="str">
        <x:v>Required Field Validation</x:v>
      </x:c>
      <x:c r="E20" s="67" t="str">
        <x:v>TS-FGP-004 — Verify password reset request with blank username</x:v>
      </x:c>
      <x:c r="F20" s="67" t="str">
        <x:v>Reset Password page is open.</x:v>
      </x:c>
      <x:c r="G20" s="67" t="str">
        <x:v>1. Leave field blank.
2. Click Reset Password.</x:v>
      </x:c>
      <x:c r="H20" s="67" t="str">
        <x:v>N/A</x:v>
      </x:c>
      <x:c r="I20" s="67" t="str">
        <x:v>Required validation message displayed.</x:v>
      </x:c>
      <x:c r="J20" s="67" t="str">
        <x:v>Not recorded in source workbook (historical status: Pass).</x:v>
      </x:c>
      <x:c r="K20" s="67" t="str">
        <x:v>Medium</x:v>
      </x:c>
      <x:c r="L20" s="67" t="str">
        <x:v>Medium</x:v>
      </x:c>
      <x:c r="M20" s="67" t="str">
        <x:v>Functional - Negative</x:v>
      </x:c>
      <x:c r="N20" s="67" t="str">
        <x:v>Pass</x:v>
      </x:c>
      <x:c r="O20" s="68" t="str">
        <x:v>Regression sequence 16/96. Full-regression case retained from the Deliverable 3 canonical functional suite. Legacy ID: TC_FP_004. Historical source status retained; detailed execution evidence was not recorded.</x:v>
      </x:c>
    </x:row>
    <x:row r="21">
      <x:c r="A21" s="66" t="str">
        <x:v>RQ-FGP-005</x:v>
      </x:c>
      <x:c r="B21" s="67" t="str">
        <x:v>TC-FGP-005</x:v>
      </x:c>
      <x:c r="C21" s="67" t="str">
        <x:v>Forgot Password</x:v>
      </x:c>
      <x:c r="D21" s="67" t="str">
        <x:v>Cancel Navigation</x:v>
      </x:c>
      <x:c r="E21" s="67" t="str">
        <x:v>TS-FGP-005 — Verify Cancel button navigates back to login</x:v>
      </x:c>
      <x:c r="F21" s="67" t="str">
        <x:v>Reset Password page is open.</x:v>
      </x:c>
      <x:c r="G21" s="67" t="str">
        <x:v>1. On Reset Password page click Cancel.</x:v>
      </x:c>
      <x:c r="H21" s="67" t="str">
        <x:v>N/A</x:v>
      </x:c>
      <x:c r="I21" s="67" t="str">
        <x:v>User redirected to Login page.</x:v>
      </x:c>
      <x:c r="J21" s="67" t="str">
        <x:v>Not recorded in source workbook (historical status: Pass).</x:v>
      </x:c>
      <x:c r="K21" s="67" t="str">
        <x:v>Low</x:v>
      </x:c>
      <x:c r="L21" s="67" t="str">
        <x:v>Low</x:v>
      </x:c>
      <x:c r="M21" s="67" t="str">
        <x:v>UI / Navigation</x:v>
      </x:c>
      <x:c r="N21" s="67" t="str">
        <x:v>Pass</x:v>
      </x:c>
      <x:c r="O21" s="68" t="str">
        <x:v>Regression sequence 17/96. Full-regression case retained from the Deliverable 3 canonical functional suite. Legacy ID: TC_FP_005. Historical source status retained; detailed execution evidence was not recorded.</x:v>
      </x:c>
    </x:row>
    <x:row r="22">
      <x:c r="A22" s="66" t="str">
        <x:v>RQ-DSH-001</x:v>
      </x:c>
      <x:c r="B22" s="67" t="str">
        <x:v>TC-DSH-001</x:v>
      </x:c>
      <x:c r="C22" s="67" t="str">
        <x:v>Dashboard</x:v>
      </x:c>
      <x:c r="D22" s="67" t="str">
        <x:v>Dashboard Widgets</x:v>
      </x:c>
      <x:c r="E22" s="67" t="str">
        <x:v>TS-DSH-001 — Verify Dashboard loads post-login with all widgets</x:v>
      </x:c>
      <x:c r="F22" s="67" t="str">
        <x:v>User is authenticated successfully and the Dashboard is accessible.</x:v>
      </x:c>
      <x:c r="G22" s="67" t="str">
        <x:v>1. Login successfully.</x:v>
      </x:c>
      <x:c r="H22" s="67" t="str">
        <x:v>Valid credentials</x:v>
      </x:c>
      <x:c r="I22" s="67" t="str">
        <x:v>Widgets: Time at Work, My Actions, Quick Launch, Buzz Latest Posts, Employees on Leave Today, Employee Distribution charts displayed.</x:v>
      </x:c>
      <x:c r="J22" s="67" t="str">
        <x:v>Not recorded in source workbook (historical status: Pass).</x:v>
      </x:c>
      <x:c r="K22" s="67" t="str">
        <x:v>High</x:v>
      </x:c>
      <x:c r="L22" s="67" t="str">
        <x:v>High</x:v>
      </x:c>
      <x:c r="M22" s="67" t="str">
        <x:v>UI / Navigation</x:v>
      </x:c>
      <x:c r="N22" s="67" t="str">
        <x:v>Pass</x:v>
      </x:c>
      <x:c r="O22" s="68" t="str">
        <x:v>Regression sequence 18/96. Full-regression case retained from the Deliverable 3 canonical functional suite. Legacy ID: TC_DASH_001. Historical source status retained; detailed execution evidence was not recorded.</x:v>
      </x:c>
    </x:row>
    <x:row r="23">
      <x:c r="A23" s="66" t="str">
        <x:v>RQ-DSH-002</x:v>
      </x:c>
      <x:c r="B23" s="67" t="str">
        <x:v>TC-DSH-002</x:v>
      </x:c>
      <x:c r="C23" s="67" t="str">
        <x:v>Dashboard</x:v>
      </x:c>
      <x:c r="D23" s="67" t="str">
        <x:v>Module Navigation</x:v>
      </x:c>
      <x:c r="E23" s="67" t="str">
        <x:v>TS-DSH-002 — Verify left navigation menu contains all modules</x:v>
      </x:c>
      <x:c r="F23" s="67" t="str">
        <x:v>User is authenticated successfully and the Dashboard is accessible.</x:v>
      </x:c>
      <x:c r="G23" s="67" t="str">
        <x:v>1. Observe left sidebar on Dashboard.</x:v>
      </x:c>
      <x:c r="H23" s="67" t="str">
        <x:v>N/A</x:v>
      </x:c>
      <x:c r="I23" s="67" t="str">
        <x:v>Admin, PIM, Leave, Time, Recruitment, My Info, Performance, Dashboard, Directory, Buzz visible.</x:v>
      </x:c>
      <x:c r="J23" s="67" t="str">
        <x:v>Not recorded in source workbook (historical status: Pass).</x:v>
      </x:c>
      <x:c r="K23" s="67" t="str">
        <x:v>High</x:v>
      </x:c>
      <x:c r="L23" s="67" t="str">
        <x:v>High</x:v>
      </x:c>
      <x:c r="M23" s="67" t="str">
        <x:v>UI / Navigation</x:v>
      </x:c>
      <x:c r="N23" s="67" t="str">
        <x:v>Pass</x:v>
      </x:c>
      <x:c r="O23" s="68" t="str">
        <x:v>Regression sequence 19/96. Full-regression case retained from the Deliverable 3 canonical functional suite. Legacy ID: TC_DASH_002. Historical source status retained; detailed execution evidence was not recorded.</x:v>
      </x:c>
    </x:row>
    <x:row r="24">
      <x:c r="A24" s="66" t="str">
        <x:v>RQ-DSH-003</x:v>
      </x:c>
      <x:c r="B24" s="67" t="str">
        <x:v>TC-DSH-003</x:v>
      </x:c>
      <x:c r="C24" s="67" t="str">
        <x:v>Dashboard</x:v>
      </x:c>
      <x:c r="D24" s="67" t="str">
        <x:v>Quick Launch</x:v>
      </x:c>
      <x:c r="E24" s="67" t="str">
        <x:v>TS-DSH-003 — Verify Quick Launch icons are clickable and navigate correctly</x:v>
      </x:c>
      <x:c r="F24" s="67" t="str">
        <x:v>User is authenticated successfully and the Dashboard is accessible.</x:v>
      </x:c>
      <x:c r="G24" s="67" t="str">
        <x:v>1. Click each Quick Launch icon.</x:v>
      </x:c>
      <x:c r="H24" s="67" t="str">
        <x:v>N/A</x:v>
      </x:c>
      <x:c r="I24" s="67" t="str">
        <x:v>Each icon navigates to the correct respective page.</x:v>
      </x:c>
      <x:c r="J24" s="67" t="str">
        <x:v>Not recorded in source workbook (historical status: Pass).</x:v>
      </x:c>
      <x:c r="K24" s="67" t="str">
        <x:v>Medium</x:v>
      </x:c>
      <x:c r="L24" s="67" t="str">
        <x:v>Medium</x:v>
      </x:c>
      <x:c r="M24" s="67" t="str">
        <x:v>UI / Navigation</x:v>
      </x:c>
      <x:c r="N24" s="67" t="str">
        <x:v>Pass</x:v>
      </x:c>
      <x:c r="O24" s="68" t="str">
        <x:v>Regression sequence 20/96. Full-regression case retained from the Deliverable 3 canonical functional suite. Legacy ID: TC_DASH_003. Historical source status retained; detailed execution evidence was not recorded.</x:v>
      </x:c>
    </x:row>
    <x:row r="25">
      <x:c r="A25" s="66" t="str">
        <x:v>RQ-DSH-004</x:v>
      </x:c>
      <x:c r="B25" s="67" t="str">
        <x:v>TC-DSH-004</x:v>
      </x:c>
      <x:c r="C25" s="67" t="str">
        <x:v>Dashboard</x:v>
      </x:c>
      <x:c r="D25" s="67" t="str">
        <x:v>Employee Distribution Chart</x:v>
      </x:c>
      <x:c r="E25" s="67" t="str">
        <x:v>TS-DSH-004 — Verify Employee Distribution by Sub Unit chart displays data</x:v>
      </x:c>
      <x:c r="F25" s="67" t="str">
        <x:v>User is authenticated successfully and the Dashboard is accessible.</x:v>
      </x:c>
      <x:c r="G25" s="67" t="str">
        <x:v>1. Observe chart on Dashboard.</x:v>
      </x:c>
      <x:c r="H25" s="67" t="str">
        <x:v>N/A</x:v>
      </x:c>
      <x:c r="I25" s="67" t="str">
        <x:v>Pie chart renders with sub-unit distribution data.</x:v>
      </x:c>
      <x:c r="J25" s="67" t="str">
        <x:v>Not recorded in source workbook (historical status: Pass).</x:v>
      </x:c>
      <x:c r="K25" s="67" t="str">
        <x:v>Low</x:v>
      </x:c>
      <x:c r="L25" s="67" t="str">
        <x:v>Low</x:v>
      </x:c>
      <x:c r="M25" s="67" t="str">
        <x:v>UI / Navigation</x:v>
      </x:c>
      <x:c r="N25" s="67" t="str">
        <x:v>Pass</x:v>
      </x:c>
      <x:c r="O25" s="68" t="str">
        <x:v>Regression sequence 21/96. Full-regression case retained from the Deliverable 3 canonical functional suite. Legacy ID: TC_DASH_004. Historical source status retained; detailed execution evidence was not recorded.</x:v>
      </x:c>
    </x:row>
    <x:row r="26">
      <x:c r="A26" s="66" t="str">
        <x:v>RQ-DSH-005</x:v>
      </x:c>
      <x:c r="B26" s="67" t="str">
        <x:v>TC-DSH-005</x:v>
      </x:c>
      <x:c r="C26" s="67" t="str">
        <x:v>Dashboard</x:v>
      </x:c>
      <x:c r="D26" s="67" t="str">
        <x:v>Profile Menu</x:v>
      </x:c>
      <x:c r="E26" s="67" t="str">
        <x:v>TS-DSH-005 — Verify user profile dropdown options</x:v>
      </x:c>
      <x:c r="F26" s="67" t="str">
        <x:v>User is authenticated successfully and the Dashboard is accessible.</x:v>
      </x:c>
      <x:c r="G26" s="67" t="str">
        <x:v>1. Click user avatar/name dropdown.</x:v>
      </x:c>
      <x:c r="H26" s="67" t="str">
        <x:v>N/A</x:v>
      </x:c>
      <x:c r="I26" s="67" t="str">
        <x:v>Options: About, Support, Change Password, Logout displayed.</x:v>
      </x:c>
      <x:c r="J26" s="67" t="str">
        <x:v>Not recorded in source workbook (historical status: Pass).</x:v>
      </x:c>
      <x:c r="K26" s="67" t="str">
        <x:v>Medium</x:v>
      </x:c>
      <x:c r="L26" s="67" t="str">
        <x:v>Medium</x:v>
      </x:c>
      <x:c r="M26" s="67" t="str">
        <x:v>UI / Navigation</x:v>
      </x:c>
      <x:c r="N26" s="67" t="str">
        <x:v>Pass</x:v>
      </x:c>
      <x:c r="O26" s="68" t="str">
        <x:v>Regression sequence 22/96. Full-regression case retained from the Deliverable 3 canonical functional suite. Legacy ID: TC_DASH_005. Historical source status retained; detailed execution evidence was not recorded.</x:v>
      </x:c>
    </x:row>
    <x:row r="27">
      <x:c r="A27" s="66" t="str">
        <x:v>RQ-ADM-001</x:v>
      </x:c>
      <x:c r="B27" s="67" t="str">
        <x:v>TC-ADM-001</x:v>
      </x:c>
      <x:c r="C27" s="67" t="str">
        <x:v>Admin</x:v>
      </x:c>
      <x:c r="D27" s="67" t="str">
        <x:v>System Users</x:v>
      </x:c>
      <x:c r="E27" s="67" t="str">
        <x:v>TS-ADM-001 — Verify Admin module page loads with System Users list</x:v>
      </x:c>
      <x:c r="F27" s="67" t="str">
        <x:v>Administrator is authenticated and has access to the Admin module.</x:v>
      </x:c>
      <x:c r="G27" s="67" t="str">
        <x:v>1. Navigate to Admin tab.</x:v>
      </x:c>
      <x:c r="H27" s="67" t="str">
        <x:v>N/A</x:v>
      </x:c>
      <x:c r="I27" s="67" t="str">
        <x:v>System Users grid displayed with existing users.</x:v>
      </x:c>
      <x:c r="J27" s="67" t="str">
        <x:v>Not recorded in source workbook (historical status: Pass).</x:v>
      </x:c>
      <x:c r="K27" s="67" t="str">
        <x:v>High</x:v>
      </x:c>
      <x:c r="L27" s="67" t="str">
        <x:v>High</x:v>
      </x:c>
      <x:c r="M27" s="67" t="str">
        <x:v>UI / Navigation</x:v>
      </x:c>
      <x:c r="N27" s="67" t="str">
        <x:v>Pass</x:v>
      </x:c>
      <x:c r="O27" s="68" t="str">
        <x:v>Regression sequence 23/96. Full-regression case retained from the Deliverable 3 canonical functional suite. Legacy ID: TC_ADM_001. Historical source status retained; detailed execution evidence was not recorded.</x:v>
      </x:c>
    </x:row>
    <x:row r="28">
      <x:c r="A28" s="66" t="str">
        <x:v>RQ-ADM-002</x:v>
      </x:c>
      <x:c r="B28" s="67" t="str">
        <x:v>TC-ADM-002</x:v>
      </x:c>
      <x:c r="C28" s="67" t="str">
        <x:v>Admin</x:v>
      </x:c>
      <x:c r="D28" s="67" t="str">
        <x:v>System User Creation</x:v>
      </x:c>
      <x:c r="E28" s="67" t="str">
        <x:v>TS-ADM-002 — Verify adding a new system user with valid data</x:v>
      </x:c>
      <x:c r="F28" s="67" t="str">
        <x:v>Administrator is authenticated; Admin &gt; System Users is accessible; an eligible employee exists; a unique test username is available.</x:v>
      </x:c>
      <x:c r="G28" s="67" t="str">
        <x:v>1. Click Add.
2. Select User Role, Employee Name, Status.
3. Enter Username &amp; Password.
4. Click Save.</x:v>
      </x:c>
      <x:c r="H28" s="67" t="str">
        <x:v>Role: ESS, valid employee, unique username</x:v>
      </x:c>
      <x:c r="I28" s="67" t="str">
        <x:v>New user created and listed in System Users grid.</x:v>
      </x:c>
      <x:c r="J28" s="67" t="str">
        <x:v>Not recorded in source workbook (historical status: Pass).</x:v>
      </x:c>
      <x:c r="K28" s="67" t="str">
        <x:v>High</x:v>
      </x:c>
      <x:c r="L28" s="67" t="str">
        <x:v>High</x:v>
      </x:c>
      <x:c r="M28" s="67" t="str">
        <x:v>Functional - Positive</x:v>
      </x:c>
      <x:c r="N28" s="67" t="str">
        <x:v>Pass</x:v>
      </x:c>
      <x:c r="O28" s="68" t="str">
        <x:v>Regression sequence 24/96. Full-regression case retained from the Deliverable 3 canonical functional suite. Legacy ID: TC_ADM_002. Historical source status retained; detailed execution evidence was not recorded.</x:v>
      </x:c>
    </x:row>
    <x:row r="29">
      <x:c r="A29" s="66" t="str">
        <x:v>RQ-ADM-003</x:v>
      </x:c>
      <x:c r="B29" s="67" t="str">
        <x:v>TC-ADM-003</x:v>
      </x:c>
      <x:c r="C29" s="67" t="str">
        <x:v>Admin</x:v>
      </x:c>
      <x:c r="D29" s="67" t="str">
        <x:v>Username Uniqueness</x:v>
      </x:c>
      <x:c r="E29" s="67" t="str">
        <x:v>TS-ADM-003 — Verify adding user fails with duplicate username</x:v>
      </x:c>
      <x:c r="F29" s="67" t="str">
        <x:v>Administrator is authenticated; Admin &gt; System Users is accessible; an existing username is known.</x:v>
      </x:c>
      <x:c r="G29" s="67" t="str">
        <x:v>1. Add user with existing username.
2. Click Save.</x:v>
      </x:c>
      <x:c r="H29" s="67" t="str">
        <x:v>Existing username "Admin"</x:v>
      </x:c>
      <x:c r="I29" s="67" t="str">
        <x:v>Error: "Username already exists".</x:v>
      </x:c>
      <x:c r="J29" s="67" t="str">
        <x:v>Not recorded in source workbook (historical status: Pass).</x:v>
      </x:c>
      <x:c r="K29" s="67" t="str">
        <x:v>High</x:v>
      </x:c>
      <x:c r="L29" s="67" t="str">
        <x:v>High</x:v>
      </x:c>
      <x:c r="M29" s="67" t="str">
        <x:v>Functional - Negative</x:v>
      </x:c>
      <x:c r="N29" s="67" t="str">
        <x:v>Pass</x:v>
      </x:c>
      <x:c r="O29" s="68" t="str">
        <x:v>Regression sequence 25/96. Full-regression case retained from the Deliverable 3 canonical functional suite. Legacy ID: TC_ADM_003. Historical source status retained; detailed execution evidence was not recorded.</x:v>
      </x:c>
    </x:row>
    <x:row r="30">
      <x:c r="A30" s="66" t="str">
        <x:v>RQ-ADM-004</x:v>
      </x:c>
      <x:c r="B30" s="67" t="str">
        <x:v>TC-ADM-004</x:v>
      </x:c>
      <x:c r="C30" s="67" t="str">
        <x:v>Admin</x:v>
      </x:c>
      <x:c r="D30" s="67" t="str">
        <x:v>Required Field Validation</x:v>
      </x:c>
      <x:c r="E30" s="67" t="str">
        <x:v>TS-ADM-004 — Verify mandatory field validation on Add User form</x:v>
      </x:c>
      <x:c r="F30" s="67" t="str">
        <x:v>Administrator is authenticated and has access to the Admin module.</x:v>
      </x:c>
      <x:c r="G30" s="67" t="str">
        <x:v>1. Click Save without filling required fields.</x:v>
      </x:c>
      <x:c r="H30" s="67" t="str">
        <x:v>N/A</x:v>
      </x:c>
      <x:c r="I30" s="67" t="str">
        <x:v>Required messages shown for mandatory fields.</x:v>
      </x:c>
      <x:c r="J30" s="67" t="str">
        <x:v>Not recorded in source workbook (historical status: Pass).</x:v>
      </x:c>
      <x:c r="K30" s="67" t="str">
        <x:v>Medium</x:v>
      </x:c>
      <x:c r="L30" s="67" t="str">
        <x:v>Medium</x:v>
      </x:c>
      <x:c r="M30" s="67" t="str">
        <x:v>Functional - Negative</x:v>
      </x:c>
      <x:c r="N30" s="67" t="str">
        <x:v>Pass</x:v>
      </x:c>
      <x:c r="O30" s="68" t="str">
        <x:v>Regression sequence 26/96. Full-regression case retained from the Deliverable 3 canonical functional suite. Legacy ID: TC_ADM_004. Historical source status retained; detailed execution evidence was not recorded.</x:v>
      </x:c>
    </x:row>
    <x:row r="31">
      <x:c r="A31" s="66" t="str">
        <x:v>RQ-ADM-005</x:v>
      </x:c>
      <x:c r="B31" s="67" t="str">
        <x:v>TC-ADM-005</x:v>
      </x:c>
      <x:c r="C31" s="67" t="str">
        <x:v>Admin</x:v>
      </x:c>
      <x:c r="D31" s="67" t="str">
        <x:v>Password Confirmation</x:v>
      </x:c>
      <x:c r="E31" s="67" t="str">
        <x:v>TS-ADM-005 — Verify password and confirm password mismatch validation</x:v>
      </x:c>
      <x:c r="F31" s="67" t="str">
        <x:v>Administrator is authenticated and has access to the Admin module.</x:v>
      </x:c>
      <x:c r="G31" s="67" t="str">
        <x:v>1. Enter different values in Password and Confirm Password.</x:v>
      </x:c>
      <x:c r="H31" s="67" t="str">
        <x:v>pass123 / pass456</x:v>
      </x:c>
      <x:c r="I31" s="67" t="str">
        <x:v>Error: "Passwords do not match".</x:v>
      </x:c>
      <x:c r="J31" s="67" t="str">
        <x:v>Not recorded in source workbook (historical status: Pass).</x:v>
      </x:c>
      <x:c r="K31" s="67" t="str">
        <x:v>High</x:v>
      </x:c>
      <x:c r="L31" s="67" t="str">
        <x:v>High</x:v>
      </x:c>
      <x:c r="M31" s="67" t="str">
        <x:v>Functional - Negative</x:v>
      </x:c>
      <x:c r="N31" s="67" t="str">
        <x:v>Pass</x:v>
      </x:c>
      <x:c r="O31" s="68" t="str">
        <x:v>Regression sequence 27/96. Full-regression case retained from the Deliverable 3 canonical functional suite. Legacy ID: TC_ADM_005. Historical source status retained; detailed execution evidence was not recorded.</x:v>
      </x:c>
    </x:row>
    <x:row r="32">
      <x:c r="A32" s="66" t="str">
        <x:v>RQ-ADM-006</x:v>
      </x:c>
      <x:c r="B32" s="67" t="str">
        <x:v>TC-ADM-006</x:v>
      </x:c>
      <x:c r="C32" s="67" t="str">
        <x:v>Admin</x:v>
      </x:c>
      <x:c r="D32" s="67" t="str">
        <x:v>System User Maintenance</x:v>
      </x:c>
      <x:c r="E32" s="67" t="str">
        <x:v>TS-ADM-006 — Verify editing an existing system user</x:v>
      </x:c>
      <x:c r="F32" s="67" t="str">
        <x:v>Administrator is authenticated; an editable non-critical test system user exists.</x:v>
      </x:c>
      <x:c r="G32" s="67" t="str">
        <x:v>1. Select a user.
2. Click Edit.
3. Modify Status.
4. Save.</x:v>
      </x:c>
      <x:c r="H32" s="67" t="str">
        <x:v>Change status Enabled to Disabled</x:v>
      </x:c>
      <x:c r="I32" s="67" t="str">
        <x:v>Changes reflected in System Users list.</x:v>
      </x:c>
      <x:c r="J32" s="67" t="str">
        <x:v>Not recorded in source workbook (historical status: Pass).</x:v>
      </x:c>
      <x:c r="K32" s="67" t="str">
        <x:v>High</x:v>
      </x:c>
      <x:c r="L32" s="67" t="str">
        <x:v>High</x:v>
      </x:c>
      <x:c r="M32" s="67" t="str">
        <x:v>Functional - Positive</x:v>
      </x:c>
      <x:c r="N32" s="67" t="str">
        <x:v>Pass</x:v>
      </x:c>
      <x:c r="O32" s="68" t="str">
        <x:v>Regression sequence 28/96. Full-regression case retained from the Deliverable 3 canonical functional suite. Legacy ID: TC_ADM_006. Historical source status retained; detailed execution evidence was not recorded.</x:v>
      </x:c>
    </x:row>
    <x:row r="33">
      <x:c r="A33" s="66" t="str">
        <x:v>RQ-ADM-007</x:v>
      </x:c>
      <x:c r="B33" s="67" t="str">
        <x:v>TC-ADM-007</x:v>
      </x:c>
      <x:c r="C33" s="67" t="str">
        <x:v>Admin</x:v>
      </x:c>
      <x:c r="D33" s="67" t="str">
        <x:v>System User Deletion</x:v>
      </x:c>
      <x:c r="E33" s="67" t="str">
        <x:v>TS-ADM-007 — Verify deleting a system user</x:v>
      </x:c>
      <x:c r="F33" s="67" t="str">
        <x:v>Administrator is authenticated; a deletable QA test system user exists.</x:v>
      </x:c>
      <x:c r="G33" s="67" t="str">
        <x:v>1. Select checkbox of a user.
2. Click Delete.
3. Confirm.</x:v>
      </x:c>
      <x:c r="H33" s="67" t="str">
        <x:v>Existing test user</x:v>
      </x:c>
      <x:c r="I33" s="67" t="str">
        <x:v>User removed from System Users list.</x:v>
      </x:c>
      <x:c r="J33" s="67" t="str">
        <x:v>Not recorded in source workbook (historical status: Pass).</x:v>
      </x:c>
      <x:c r="K33" s="67" t="str">
        <x:v>High</x:v>
      </x:c>
      <x:c r="L33" s="67" t="str">
        <x:v>High</x:v>
      </x:c>
      <x:c r="M33" s="67" t="str">
        <x:v>Functional - Positive</x:v>
      </x:c>
      <x:c r="N33" s="67" t="str">
        <x:v>Pass</x:v>
      </x:c>
      <x:c r="O33" s="68" t="str">
        <x:v>Regression sequence 29/96. Full-regression case retained from the Deliverable 3 canonical functional suite. Legacy ID: TC_ADM_007. Historical source status retained; detailed execution evidence was not recorded.</x:v>
      </x:c>
    </x:row>
    <x:row r="34">
      <x:c r="A34" s="66" t="str">
        <x:v>RQ-ADM-008</x:v>
      </x:c>
      <x:c r="B34" s="67" t="str">
        <x:v>TC-ADM-008</x:v>
      </x:c>
      <x:c r="C34" s="67" t="str">
        <x:v>Admin</x:v>
      </x:c>
      <x:c r="D34" s="67" t="str">
        <x:v>User Search</x:v>
      </x:c>
      <x:c r="E34" s="67" t="str">
        <x:v>TS-ADM-008 — Verify search/filter system users by Username</x:v>
      </x:c>
      <x:c r="F34" s="67" t="str">
        <x:v>Administrator is authenticated; at least one known system user exists.</x:v>
      </x:c>
      <x:c r="G34" s="67" t="str">
        <x:v>1. Enter username in search filter.
2. Click Search.</x:v>
      </x:c>
      <x:c r="H34" s="67" t="str">
        <x:v>Admin</x:v>
      </x:c>
      <x:c r="I34" s="67" t="str">
        <x:v>Only matching user(s) displayed.</x:v>
      </x:c>
      <x:c r="J34" s="67" t="str">
        <x:v>Not recorded in source workbook (historical status: Pass).</x:v>
      </x:c>
      <x:c r="K34" s="67" t="str">
        <x:v>Medium</x:v>
      </x:c>
      <x:c r="L34" s="67" t="str">
        <x:v>Medium</x:v>
      </x:c>
      <x:c r="M34" s="67" t="str">
        <x:v>Functional - Positive</x:v>
      </x:c>
      <x:c r="N34" s="67" t="str">
        <x:v>Pass</x:v>
      </x:c>
      <x:c r="O34" s="68" t="str">
        <x:v>Regression sequence 30/96. Full-regression case retained from the Deliverable 3 canonical functional suite. Legacy ID: TC_ADM_008. Historical source status retained; detailed execution evidence was not recorded.</x:v>
      </x:c>
    </x:row>
    <x:row r="35">
      <x:c r="A35" s="66" t="str">
        <x:v>RQ-ADM-009</x:v>
      </x:c>
      <x:c r="B35" s="67" t="str">
        <x:v>TC-ADM-009</x:v>
      </x:c>
      <x:c r="C35" s="67" t="str">
        <x:v>Admin</x:v>
      </x:c>
      <x:c r="D35" s="67" t="str">
        <x:v>User Filtering</x:v>
      </x:c>
      <x:c r="E35" s="67" t="str">
        <x:v>TS-ADM-009 — Verify search filter by User Role and Status</x:v>
      </x:c>
      <x:c r="F35" s="67" t="str">
        <x:v>Administrator is authenticated; System Users contains records matching the selected role/status combination.</x:v>
      </x:c>
      <x:c r="G35" s="67" t="str">
        <x:v>1. Select Role = Admin, Status = Enabled.
2. Click Search.</x:v>
      </x:c>
      <x:c r="H35" s="67" t="str">
        <x:v>Role: Admin, Status: Enabled</x:v>
      </x:c>
      <x:c r="I35" s="67" t="str">
        <x:v>Only users matching both criteria displayed.</x:v>
      </x:c>
      <x:c r="J35" s="67" t="str">
        <x:v>Not recorded in source workbook (historical status: Pass).</x:v>
      </x:c>
      <x:c r="K35" s="67" t="str">
        <x:v>Medium</x:v>
      </x:c>
      <x:c r="L35" s="67" t="str">
        <x:v>Medium</x:v>
      </x:c>
      <x:c r="M35" s="67" t="str">
        <x:v>Functional - Positive</x:v>
      </x:c>
      <x:c r="N35" s="67" t="str">
        <x:v>Pass</x:v>
      </x:c>
      <x:c r="O35" s="68" t="str">
        <x:v>Regression sequence 31/96. Full-regression case retained from the Deliverable 3 canonical functional suite. Legacy ID: TC_ADM_009. Historical source status retained; detailed execution evidence was not recorded.</x:v>
      </x:c>
    </x:row>
    <x:row r="36">
      <x:c r="A36" s="66" t="str">
        <x:v>RQ-ADM-010</x:v>
      </x:c>
      <x:c r="B36" s="67" t="str">
        <x:v>TC-ADM-010</x:v>
      </x:c>
      <x:c r="C36" s="67" t="str">
        <x:v>Admin</x:v>
      </x:c>
      <x:c r="D36" s="67" t="str">
        <x:v>Filter Reset</x:v>
      </x:c>
      <x:c r="E36" s="67" t="str">
        <x:v>TS-ADM-010 — Verify Reset button clears applied search filters</x:v>
      </x:c>
      <x:c r="F36" s="67" t="str">
        <x:v>Administrator is authenticated and has access to the Admin module.</x:v>
      </x:c>
      <x:c r="G36" s="67" t="str">
        <x:v>1. Apply filters.
2. Click Reset.</x:v>
      </x:c>
      <x:c r="H36" s="67" t="str">
        <x:v>N/A</x:v>
      </x:c>
      <x:c r="I36" s="67" t="str">
        <x:v>All filters cleared, full list displayed.</x:v>
      </x:c>
      <x:c r="J36" s="67" t="str">
        <x:v>Not recorded in source workbook (historical status: Pass).</x:v>
      </x:c>
      <x:c r="K36" s="67" t="str">
        <x:v>Low</x:v>
      </x:c>
      <x:c r="L36" s="67" t="str">
        <x:v>Low</x:v>
      </x:c>
      <x:c r="M36" s="67" t="str">
        <x:v>Functional - Positive</x:v>
      </x:c>
      <x:c r="N36" s="67" t="str">
        <x:v>Pass</x:v>
      </x:c>
      <x:c r="O36" s="68" t="str">
        <x:v>Regression sequence 32/96. Full-regression case retained from the Deliverable 3 canonical functional suite. Legacy ID: TC_ADM_010. Historical source status retained; detailed execution evidence was not recorded.</x:v>
      </x:c>
    </x:row>
    <x:row r="37">
      <x:c r="A37" s="66" t="str">
        <x:v>RQ-PIM-001</x:v>
      </x:c>
      <x:c r="B37" s="67" t="str">
        <x:v>TC-PIM-001</x:v>
      </x:c>
      <x:c r="C37" s="67" t="str">
        <x:v>PIM</x:v>
      </x:c>
      <x:c r="D37" s="67" t="str">
        <x:v>Employee List</x:v>
      </x:c>
      <x:c r="E37" s="67" t="str">
        <x:v>TS-PIM-001 — Verify PIM module loads Employee List</x:v>
      </x:c>
      <x:c r="F37" s="67" t="str">
        <x:v>Administrator is authenticated and has access to the PIM module.</x:v>
      </x:c>
      <x:c r="G37" s="67" t="str">
        <x:v>1. Navigate to PIM tab.</x:v>
      </x:c>
      <x:c r="H37" s="67" t="str">
        <x:v>N/A</x:v>
      </x:c>
      <x:c r="I37" s="67" t="str">
        <x:v>Employee List grid displayed.</x:v>
      </x:c>
      <x:c r="J37" s="67" t="str">
        <x:v>Not recorded in source workbook (historical status: Pass).</x:v>
      </x:c>
      <x:c r="K37" s="67" t="str">
        <x:v>High</x:v>
      </x:c>
      <x:c r="L37" s="67" t="str">
        <x:v>High</x:v>
      </x:c>
      <x:c r="M37" s="67" t="str">
        <x:v>UI / Navigation</x:v>
      </x:c>
      <x:c r="N37" s="67" t="str">
        <x:v>Pass</x:v>
      </x:c>
      <x:c r="O37" s="68" t="str">
        <x:v>Regression sequence 33/96. Full-regression case retained from the Deliverable 3 canonical functional suite. Legacy ID: TC_PIM_001. Historical source status retained; detailed execution evidence was not recorded.</x:v>
      </x:c>
    </x:row>
    <x:row r="38">
      <x:c r="A38" s="66" t="str">
        <x:v>RQ-PIM-002</x:v>
      </x:c>
      <x:c r="B38" s="67" t="str">
        <x:v>TC-PIM-002</x:v>
      </x:c>
      <x:c r="C38" s="67" t="str">
        <x:v>PIM</x:v>
      </x:c>
      <x:c r="D38" s="67" t="str">
        <x:v>Employee Creation</x:v>
      </x:c>
      <x:c r="E38" s="67" t="str">
        <x:v>TS-PIM-002 — Verify adding new employee with mandatory fields only</x:v>
      </x:c>
      <x:c r="F38" s="67" t="str">
        <x:v>Administrator is authenticated and has access to the PIM module.</x:v>
      </x:c>
      <x:c r="G38" s="67" t="str">
        <x:v>1. Click Add.
2. Enter First/Last Name.
3. Click Save.</x:v>
      </x:c>
      <x:c r="H38" s="67" t="str">
        <x:v>John/Doe</x:v>
      </x:c>
      <x:c r="I38" s="67" t="str">
        <x:v>New employee added, Employee ID auto-generated.</x:v>
      </x:c>
      <x:c r="J38" s="67" t="str">
        <x:v>Not recorded in source workbook (historical status: Pass).</x:v>
      </x:c>
      <x:c r="K38" s="67" t="str">
        <x:v>High</x:v>
      </x:c>
      <x:c r="L38" s="67" t="str">
        <x:v>High</x:v>
      </x:c>
      <x:c r="M38" s="67" t="str">
        <x:v>Functional - Positive</x:v>
      </x:c>
      <x:c r="N38" s="67" t="str">
        <x:v>Pass</x:v>
      </x:c>
      <x:c r="O38" s="68" t="str">
        <x:v>Regression sequence 34/96. Full-regression case retained from the Deliverable 3 canonical functional suite. Legacy ID: TC_PIM_002. Historical source status retained; detailed execution evidence was not recorded.</x:v>
      </x:c>
    </x:row>
    <x:row r="39">
      <x:c r="A39" s="66" t="str">
        <x:v>RQ-PIM-003</x:v>
      </x:c>
      <x:c r="B39" s="67" t="str">
        <x:v>TC-PIM-003</x:v>
      </x:c>
      <x:c r="C39" s="67" t="str">
        <x:v>PIM</x:v>
      </x:c>
      <x:c r="D39" s="67" t="str">
        <x:v>Employee Photo</x:v>
      </x:c>
      <x:c r="E39" s="67" t="str">
        <x:v>TS-PIM-003 — Verify adding employee with photo upload</x:v>
      </x:c>
      <x:c r="F39" s="67" t="str">
        <x:v>Administrator is authenticated; PIM &gt; Add Employee is accessible; a supported JPG/PNG test image is available.</x:v>
      </x:c>
      <x:c r="G39" s="67" t="str">
        <x:v>1. Click Add.
2. Enter details.
3. Upload employee photo.
4. Save.</x:v>
      </x:c>
      <x:c r="H39" s="67" t="str">
        <x:v>Valid image file (jpg/png)</x:v>
      </x:c>
      <x:c r="I39" s="67" t="str">
        <x:v>Employee created with uploaded photo visible.</x:v>
      </x:c>
      <x:c r="J39" s="67" t="str">
        <x:v>Not recorded in source workbook (historical status: Pass).</x:v>
      </x:c>
      <x:c r="K39" s="67" t="str">
        <x:v>Medium</x:v>
      </x:c>
      <x:c r="L39" s="67" t="str">
        <x:v>Medium</x:v>
      </x:c>
      <x:c r="M39" s="67" t="str">
        <x:v>File Upload</x:v>
      </x:c>
      <x:c r="N39" s="67" t="str">
        <x:v>Pass</x:v>
      </x:c>
      <x:c r="O39" s="68" t="str">
        <x:v>Regression sequence 35/96. Full-regression case retained from the Deliverable 3 canonical functional suite. Legacy ID: TC_PIM_003. Historical source status retained; detailed execution evidence was not recorded.</x:v>
      </x:c>
    </x:row>
    <x:row r="40">
      <x:c r="A40" s="66" t="str">
        <x:v>RQ-PIM-004</x:v>
      </x:c>
      <x:c r="B40" s="67" t="str">
        <x:v>TC-PIM-004</x:v>
      </x:c>
      <x:c r="C40" s="67" t="str">
        <x:v>PIM</x:v>
      </x:c>
      <x:c r="D40" s="67" t="str">
        <x:v>Required Field Validation</x:v>
      </x:c>
      <x:c r="E40" s="67" t="str">
        <x:v>TS-PIM-004 — Verify mandatory field validation while adding employee</x:v>
      </x:c>
      <x:c r="F40" s="67" t="str">
        <x:v>Administrator is authenticated and has access to the PIM module.</x:v>
      </x:c>
      <x:c r="G40" s="67" t="str">
        <x:v>1. Click Save without entering First/Last Name.</x:v>
      </x:c>
      <x:c r="H40" s="67" t="str">
        <x:v>N/A</x:v>
      </x:c>
      <x:c r="I40" s="67" t="str">
        <x:v>Required validation messages shown.</x:v>
      </x:c>
      <x:c r="J40" s="67" t="str">
        <x:v>Not recorded in source workbook (historical status: Pass).</x:v>
      </x:c>
      <x:c r="K40" s="67" t="str">
        <x:v>High</x:v>
      </x:c>
      <x:c r="L40" s="67" t="str">
        <x:v>High</x:v>
      </x:c>
      <x:c r="M40" s="67" t="str">
        <x:v>Functional - Negative</x:v>
      </x:c>
      <x:c r="N40" s="67" t="str">
        <x:v>Pass</x:v>
      </x:c>
      <x:c r="O40" s="68" t="str">
        <x:v>Regression sequence 36/96. Full-regression case retained from the Deliverable 3 canonical functional suite. Legacy ID: TC_PIM_004. Historical source status retained; detailed execution evidence was not recorded.</x:v>
      </x:c>
    </x:row>
    <x:row r="41">
      <x:c r="A41" s="66" t="str">
        <x:v>RQ-PIM-005</x:v>
      </x:c>
      <x:c r="B41" s="67" t="str">
        <x:v>TC-PIM-005</x:v>
      </x:c>
      <x:c r="C41" s="67" t="str">
        <x:v>PIM</x:v>
      </x:c>
      <x:c r="D41" s="67" t="str">
        <x:v>Employee Login Details</x:v>
      </x:c>
      <x:c r="E41" s="67" t="str">
        <x:v>TS-PIM-005 — Verify creating login details for an employee</x:v>
      </x:c>
      <x:c r="F41" s="67" t="str">
        <x:v>Administrator is authenticated; PIM &gt; Add Employee is accessible; unique ESS username/password test data is available.</x:v>
      </x:c>
      <x:c r="G41" s="67" t="str">
        <x:v>1. Add employee.
2. Enable Create Login Details toggle.
3. Enter username/password.
4. Save.</x:v>
      </x:c>
      <x:c r="H41" s="67" t="str">
        <x:v>Valid credentials</x:v>
      </x:c>
      <x:c r="I41" s="67" t="str">
        <x:v>Employee created with ESS login access.</x:v>
      </x:c>
      <x:c r="J41" s="67" t="str">
        <x:v>Not recorded in source workbook (historical status: Pass).</x:v>
      </x:c>
      <x:c r="K41" s="67" t="str">
        <x:v>High</x:v>
      </x:c>
      <x:c r="L41" s="67" t="str">
        <x:v>High</x:v>
      </x:c>
      <x:c r="M41" s="67" t="str">
        <x:v>Functional - Positive</x:v>
      </x:c>
      <x:c r="N41" s="67" t="str">
        <x:v>Pass</x:v>
      </x:c>
      <x:c r="O41" s="68" t="str">
        <x:v>Regression sequence 37/96. Full-regression case retained from the Deliverable 3 canonical functional suite. Legacy ID: TC_PIM_005. Historical source status retained; detailed execution evidence was not recorded.</x:v>
      </x:c>
    </x:row>
    <x:row r="42">
      <x:c r="A42" s="66" t="str">
        <x:v>RQ-PIM-006</x:v>
      </x:c>
      <x:c r="B42" s="67" t="str">
        <x:v>TC-PIM-006</x:v>
      </x:c>
      <x:c r="C42" s="67" t="str">
        <x:v>PIM</x:v>
      </x:c>
      <x:c r="D42" s="67" t="str">
        <x:v>Personal Details</x:v>
      </x:c>
      <x:c r="E42" s="67" t="str">
        <x:v>TS-PIM-006 — Verify editing Personal Details tab of employee</x:v>
      </x:c>
      <x:c r="F42" s="67" t="str">
        <x:v>Administrator is authenticated; an employee record exists and is editable.</x:v>
      </x:c>
      <x:c r="G42" s="67" t="str">
        <x:v>1. Open employee profile.
2. Edit Personal Details.
3. Save.</x:v>
      </x:c>
      <x:c r="H42" s="67" t="str">
        <x:v>Updated DOB, Nationality</x:v>
      </x:c>
      <x:c r="I42" s="67" t="str">
        <x:v>Changes saved and reflected on refresh.</x:v>
      </x:c>
      <x:c r="J42" s="67" t="str">
        <x:v>Not recorded in source workbook (historical status: Pass).</x:v>
      </x:c>
      <x:c r="K42" s="67" t="str">
        <x:v>High</x:v>
      </x:c>
      <x:c r="L42" s="67" t="str">
        <x:v>High</x:v>
      </x:c>
      <x:c r="M42" s="67" t="str">
        <x:v>Functional - Positive</x:v>
      </x:c>
      <x:c r="N42" s="67" t="str">
        <x:v>Pass</x:v>
      </x:c>
      <x:c r="O42" s="68" t="str">
        <x:v>Regression sequence 38/96. Full-regression case retained from the Deliverable 3 canonical functional suite. Legacy ID: TC_PIM_006. Historical source status retained; detailed execution evidence was not recorded.</x:v>
      </x:c>
    </x:row>
    <x:row r="43">
      <x:c r="A43" s="66" t="str">
        <x:v>RQ-PIM-007</x:v>
      </x:c>
      <x:c r="B43" s="67" t="str">
        <x:v>TC-PIM-007</x:v>
      </x:c>
      <x:c r="C43" s="67" t="str">
        <x:v>PIM</x:v>
      </x:c>
      <x:c r="D43" s="67" t="str">
        <x:v>Contact Details</x:v>
      </x:c>
      <x:c r="E43" s="67" t="str">
        <x:v>TS-PIM-007 — Verify adding employee's Contact Details</x:v>
      </x:c>
      <x:c r="F43" s="67" t="str">
        <x:v>Administrator is authenticated; an employee record exists and Contact Details is accessible.</x:v>
      </x:c>
      <x:c r="G43" s="67" t="str">
        <x:v>1. Open employee profile.
2. Navigate to Contact Details.
3. Enter address, phone, email.
4. Save.</x:v>
      </x:c>
      <x:c r="H43" s="67" t="str">
        <x:v>Valid address &amp; contact info</x:v>
      </x:c>
      <x:c r="I43" s="67" t="str">
        <x:v>Data saved successfully.</x:v>
      </x:c>
      <x:c r="J43" s="67" t="str">
        <x:v>Not recorded in source workbook (historical status: Pass).</x:v>
      </x:c>
      <x:c r="K43" s="67" t="str">
        <x:v>Medium</x:v>
      </x:c>
      <x:c r="L43" s="67" t="str">
        <x:v>Medium</x:v>
      </x:c>
      <x:c r="M43" s="67" t="str">
        <x:v>Functional - Positive</x:v>
      </x:c>
      <x:c r="N43" s="67" t="str">
        <x:v>Pass</x:v>
      </x:c>
      <x:c r="O43" s="68" t="str">
        <x:v>Regression sequence 39/96. Full-regression case retained from the Deliverable 3 canonical functional suite. Legacy ID: TC_PIM_007. Historical source status retained; detailed execution evidence was not recorded.</x:v>
      </x:c>
    </x:row>
    <x:row r="44">
      <x:c r="A44" s="66" t="str">
        <x:v>RQ-PIM-008</x:v>
      </x:c>
      <x:c r="B44" s="67" t="str">
        <x:v>TC-PIM-008</x:v>
      </x:c>
      <x:c r="C44" s="67" t="str">
        <x:v>PIM</x:v>
      </x:c>
      <x:c r="D44" s="67" t="str">
        <x:v>Emergency Contacts</x:v>
      </x:c>
      <x:c r="E44" s="67" t="str">
        <x:v>TS-PIM-008 — Verify adding Emergency Contacts</x:v>
      </x:c>
      <x:c r="F44" s="67" t="str">
        <x:v>Administrator is authenticated; an employee record exists and Emergency Contacts is accessible.</x:v>
      </x:c>
      <x:c r="G44" s="67" t="str">
        <x:v>1. Navigate to Emergency Contacts tab.
2. Click Add.
3. Enter name &amp; relationship.
4. Save.</x:v>
      </x:c>
      <x:c r="H44" s="67" t="str">
        <x:v>Contact name, relationship</x:v>
      </x:c>
      <x:c r="I44" s="67" t="str">
        <x:v>Emergency contact added to list.</x:v>
      </x:c>
      <x:c r="J44" s="67" t="str">
        <x:v>Not recorded in source workbook (historical status: Pass).</x:v>
      </x:c>
      <x:c r="K44" s="67" t="str">
        <x:v>Medium</x:v>
      </x:c>
      <x:c r="L44" s="67" t="str">
        <x:v>Medium</x:v>
      </x:c>
      <x:c r="M44" s="67" t="str">
        <x:v>Functional - Positive</x:v>
      </x:c>
      <x:c r="N44" s="67" t="str">
        <x:v>Pass</x:v>
      </x:c>
      <x:c r="O44" s="68" t="str">
        <x:v>Regression sequence 40/96. Full-regression case retained from the Deliverable 3 canonical functional suite. Legacy ID: TC_PIM_008. Historical source status retained; detailed execution evidence was not recorded.</x:v>
      </x:c>
    </x:row>
    <x:row r="45">
      <x:c r="A45" s="66" t="str">
        <x:v>RQ-PIM-009</x:v>
      </x:c>
      <x:c r="B45" s="67" t="str">
        <x:v>TC-PIM-009</x:v>
      </x:c>
      <x:c r="C45" s="67" t="str">
        <x:v>PIM</x:v>
      </x:c>
      <x:c r="D45" s="67" t="str">
        <x:v>Dependents</x:v>
      </x:c>
      <x:c r="E45" s="67" t="str">
        <x:v>TS-PIM-009 — Verify adding Dependents information</x:v>
      </x:c>
      <x:c r="F45" s="67" t="str">
        <x:v>Administrator is authenticated; an employee record exists and Dependents is accessible.</x:v>
      </x:c>
      <x:c r="G45" s="67" t="str">
        <x:v>1. Navigate to Dependents tab.
2. Add dependent details.
3. Save.</x:v>
      </x:c>
      <x:c r="H45" s="67" t="str">
        <x:v>Name, relationship, DOB</x:v>
      </x:c>
      <x:c r="I45" s="67" t="str">
        <x:v>Dependent record saved.</x:v>
      </x:c>
      <x:c r="J45" s="67" t="str">
        <x:v>Not recorded in source workbook (historical status: Pass).</x:v>
      </x:c>
      <x:c r="K45" s="67" t="str">
        <x:v>Low</x:v>
      </x:c>
      <x:c r="L45" s="67" t="str">
        <x:v>Low</x:v>
      </x:c>
      <x:c r="M45" s="67" t="str">
        <x:v>Functional - Positive</x:v>
      </x:c>
      <x:c r="N45" s="67" t="str">
        <x:v>Pass</x:v>
      </x:c>
      <x:c r="O45" s="68" t="str">
        <x:v>Regression sequence 41/96. Full-regression case retained from the Deliverable 3 canonical functional suite. Legacy ID: TC_PIM_009. Historical source status retained; detailed execution evidence was not recorded.</x:v>
      </x:c>
    </x:row>
    <x:row r="46">
      <x:c r="A46" s="66" t="str">
        <x:v>RQ-PIM-010</x:v>
      </x:c>
      <x:c r="B46" s="67" t="str">
        <x:v>TC-PIM-010</x:v>
      </x:c>
      <x:c r="C46" s="67" t="str">
        <x:v>PIM</x:v>
      </x:c>
      <x:c r="D46" s="67" t="str">
        <x:v>Qualifications - Work Experience</x:v>
      </x:c>
      <x:c r="E46" s="67" t="str">
        <x:v>TS-PIM-010 — Verify Qualifications - adding Work Experience</x:v>
      </x:c>
      <x:c r="F46" s="67" t="str">
        <x:v>Administrator is authenticated; an employee record exists and Qualifications is accessible.</x:v>
      </x:c>
      <x:c r="G46" s="67" t="str">
        <x:v>1. Navigate to Qualifications tab.
2. Add Work Experience entry.
3. Save.</x:v>
      </x:c>
      <x:c r="H46" s="67" t="str">
        <x:v>Company, job title, dates</x:v>
      </x:c>
      <x:c r="I46" s="67" t="str">
        <x:v>Entry saved and listed.</x:v>
      </x:c>
      <x:c r="J46" s="67" t="str">
        <x:v>Not recorded in source workbook (historical status: Pass).</x:v>
      </x:c>
      <x:c r="K46" s="67" t="str">
        <x:v>Medium</x:v>
      </x:c>
      <x:c r="L46" s="67" t="str">
        <x:v>Medium</x:v>
      </x:c>
      <x:c r="M46" s="67" t="str">
        <x:v>Functional - Positive</x:v>
      </x:c>
      <x:c r="N46" s="67" t="str">
        <x:v>Pass</x:v>
      </x:c>
      <x:c r="O46" s="68" t="str">
        <x:v>Regression sequence 42/96. Full-regression case retained from the Deliverable 3 canonical functional suite. Legacy ID: TC_PIM_010. Historical source status retained; detailed execution evidence was not recorded.</x:v>
      </x:c>
    </x:row>
    <x:row r="47">
      <x:c r="A47" s="66" t="str">
        <x:v>RQ-PIM-011</x:v>
      </x:c>
      <x:c r="B47" s="67" t="str">
        <x:v>TC-PIM-011</x:v>
      </x:c>
      <x:c r="C47" s="67" t="str">
        <x:v>PIM</x:v>
      </x:c>
      <x:c r="D47" s="67" t="str">
        <x:v>Qualifications - Education &amp; Skills</x:v>
      </x:c>
      <x:c r="E47" s="67" t="str">
        <x:v>TS-PIM-011 — Verify Qualifications - adding Education &amp; Skills</x:v>
      </x:c>
      <x:c r="F47" s="67" t="str">
        <x:v>Administrator is authenticated; an employee record exists and Qualifications is accessible.</x:v>
      </x:c>
      <x:c r="G47" s="67" t="str">
        <x:v>1. Add education record and skill.
2. Save.</x:v>
      </x:c>
      <x:c r="H47" s="67" t="str">
        <x:v>Degree, institute, skill name</x:v>
      </x:c>
      <x:c r="I47" s="67" t="str">
        <x:v>Records saved successfully.</x:v>
      </x:c>
      <x:c r="J47" s="67" t="str">
        <x:v>Not recorded in source workbook (historical status: Pass).</x:v>
      </x:c>
      <x:c r="K47" s="67" t="str">
        <x:v>Low</x:v>
      </x:c>
      <x:c r="L47" s="67" t="str">
        <x:v>Low</x:v>
      </x:c>
      <x:c r="M47" s="67" t="str">
        <x:v>Functional - Positive</x:v>
      </x:c>
      <x:c r="N47" s="67" t="str">
        <x:v>Pass</x:v>
      </x:c>
      <x:c r="O47" s="68" t="str">
        <x:v>Regression sequence 43/96. Full-regression case retained from the Deliverable 3 canonical functional suite. Legacy ID: TC_PIM_011. Historical source status retained; detailed execution evidence was not recorded.</x:v>
      </x:c>
    </x:row>
    <x:row r="48">
      <x:c r="A48" s="66" t="str">
        <x:v>RQ-PIM-012</x:v>
      </x:c>
      <x:c r="B48" s="67" t="str">
        <x:v>TC-PIM-012</x:v>
      </x:c>
      <x:c r="C48" s="67" t="str">
        <x:v>PIM</x:v>
      </x:c>
      <x:c r="D48" s="67" t="str">
        <x:v>Attachments</x:v>
      </x:c>
      <x:c r="E48" s="67" t="str">
        <x:v>TS-PIM-012 — Verify uploading employee attachments/documents</x:v>
      </x:c>
      <x:c r="F48" s="67" t="str">
        <x:v>Administrator is authenticated; an employee record exists; a supported PDF/DOC test file is available.</x:v>
      </x:c>
      <x:c r="G48" s="67" t="str">
        <x:v>1. Navigate to Attachments tab.
2. Upload document.
3. Save.</x:v>
      </x:c>
      <x:c r="H48" s="67" t="str">
        <x:v>Sample PDF/DOC file</x:v>
      </x:c>
      <x:c r="I48" s="67" t="str">
        <x:v>File uploaded and listed with download option.</x:v>
      </x:c>
      <x:c r="J48" s="67" t="str">
        <x:v>Not recorded in source workbook (historical status: Pass).</x:v>
      </x:c>
      <x:c r="K48" s="67" t="str">
        <x:v>Medium</x:v>
      </x:c>
      <x:c r="L48" s="67" t="str">
        <x:v>Medium</x:v>
      </x:c>
      <x:c r="M48" s="67" t="str">
        <x:v>File Upload</x:v>
      </x:c>
      <x:c r="N48" s="67" t="str">
        <x:v>Pass</x:v>
      </x:c>
      <x:c r="O48" s="68" t="str">
        <x:v>Regression sequence 44/96. Full-regression case retained from the Deliverable 3 canonical functional suite. Legacy ID: TC_PIM_012. Historical source status retained; detailed execution evidence was not recorded.</x:v>
      </x:c>
    </x:row>
    <x:row r="49">
      <x:c r="A49" s="66" t="str">
        <x:v>RQ-PIM-013</x:v>
      </x:c>
      <x:c r="B49" s="67" t="str">
        <x:v>TC-PIM-013</x:v>
      </x:c>
      <x:c r="C49" s="67" t="str">
        <x:v>PIM</x:v>
      </x:c>
      <x:c r="D49" s="67" t="str">
        <x:v>Employee Search by Name</x:v>
      </x:c>
      <x:c r="E49" s="67" t="str">
        <x:v>TS-PIM-013 — Verify searching employee by Employee Name</x:v>
      </x:c>
      <x:c r="F49" s="67" t="str">
        <x:v>Administrator is authenticated; an employee with a known searchable name exists.</x:v>
      </x:c>
      <x:c r="G49" s="67" t="str">
        <x:v>1. Enter name in search filter.
2. Click Search.</x:v>
      </x:c>
      <x:c r="H49" s="67" t="str">
        <x:v>John</x:v>
      </x:c>
      <x:c r="I49" s="67" t="str">
        <x:v>Matching employee(s) displayed in grid.</x:v>
      </x:c>
      <x:c r="J49" s="67" t="str">
        <x:v>Not recorded in source workbook (historical status: Pass).</x:v>
      </x:c>
      <x:c r="K49" s="67" t="str">
        <x:v>Medium</x:v>
      </x:c>
      <x:c r="L49" s="67" t="str">
        <x:v>Medium</x:v>
      </x:c>
      <x:c r="M49" s="67" t="str">
        <x:v>Functional - Positive</x:v>
      </x:c>
      <x:c r="N49" s="67" t="str">
        <x:v>Pass</x:v>
      </x:c>
      <x:c r="O49" s="68" t="str">
        <x:v>Regression sequence 45/96. Full-regression case retained from the Deliverable 3 canonical functional suite. Legacy ID: TC_PIM_013. Historical source status retained; detailed execution evidence was not recorded.</x:v>
      </x:c>
    </x:row>
    <x:row r="50">
      <x:c r="A50" s="66" t="str">
        <x:v>RQ-PIM-014</x:v>
      </x:c>
      <x:c r="B50" s="67" t="str">
        <x:v>TC-PIM-014</x:v>
      </x:c>
      <x:c r="C50" s="67" t="str">
        <x:v>PIM</x:v>
      </x:c>
      <x:c r="D50" s="67" t="str">
        <x:v>Employee Search by ID</x:v>
      </x:c>
      <x:c r="E50" s="67" t="str">
        <x:v>TS-PIM-014 — Verify searching employee by Employee ID</x:v>
      </x:c>
      <x:c r="F50" s="67" t="str">
        <x:v>Administrator is authenticated; an employee with a known Employee ID exists.</x:v>
      </x:c>
      <x:c r="G50" s="67" t="str">
        <x:v>1. Enter Employee ID.
2. Click Search.</x:v>
      </x:c>
      <x:c r="H50" s="67" t="str">
        <x:v>Valid ID</x:v>
      </x:c>
      <x:c r="I50" s="67" t="str">
        <x:v>Correct employee record displayed.</x:v>
      </x:c>
      <x:c r="J50" s="67" t="str">
        <x:v>Not recorded in source workbook (historical status: Pass).</x:v>
      </x:c>
      <x:c r="K50" s="67" t="str">
        <x:v>Medium</x:v>
      </x:c>
      <x:c r="L50" s="67" t="str">
        <x:v>Medium</x:v>
      </x:c>
      <x:c r="M50" s="67" t="str">
        <x:v>Functional - Positive</x:v>
      </x:c>
      <x:c r="N50" s="67" t="str">
        <x:v>Pass</x:v>
      </x:c>
      <x:c r="O50" s="68" t="str">
        <x:v>Regression sequence 46/96. Full-regression case retained from the Deliverable 3 canonical functional suite. Legacy ID: TC_PIM_014. Historical source status retained; detailed execution evidence was not recorded.</x:v>
      </x:c>
    </x:row>
    <x:row r="51">
      <x:c r="A51" s="66" t="str">
        <x:v>RQ-PIM-015</x:v>
      </x:c>
      <x:c r="B51" s="67" t="str">
        <x:v>TC-PIM-015</x:v>
      </x:c>
      <x:c r="C51" s="67" t="str">
        <x:v>PIM</x:v>
      </x:c>
      <x:c r="D51" s="67" t="str">
        <x:v>Employee Deletion</x:v>
      </x:c>
      <x:c r="E51" s="67" t="str">
        <x:v>TS-PIM-015 — Verify deleting an employee record</x:v>
      </x:c>
      <x:c r="F51" s="67" t="str">
        <x:v>Administrator is authenticated; a deletable QA employee record exists.</x:v>
      </x:c>
      <x:c r="G51" s="67" t="str">
        <x:v>1. Select employee checkbox.
2. Click Delete.
3. Confirm.</x:v>
      </x:c>
      <x:c r="H51" s="67" t="str">
        <x:v>Test employee record</x:v>
      </x:c>
      <x:c r="I51" s="67" t="str">
        <x:v>Employee removed from Employee List.</x:v>
      </x:c>
      <x:c r="J51" s="67" t="str">
        <x:v>Not recorded in source workbook (historical status: Pass).</x:v>
      </x:c>
      <x:c r="K51" s="67" t="str">
        <x:v>High</x:v>
      </x:c>
      <x:c r="L51" s="67" t="str">
        <x:v>High</x:v>
      </x:c>
      <x:c r="M51" s="67" t="str">
        <x:v>Functional - Positive</x:v>
      </x:c>
      <x:c r="N51" s="67" t="str">
        <x:v>Pass</x:v>
      </x:c>
      <x:c r="O51" s="68" t="str">
        <x:v>Regression sequence 47/96. Full-regression case retained from the Deliverable 3 canonical functional suite. Legacy ID: TC_PIM_015. Historical source status retained; detailed execution evidence was not recorded.</x:v>
      </x:c>
    </x:row>
    <x:row r="52">
      <x:c r="A52" s="66" t="str">
        <x:v>RQ-PIM-016</x:v>
      </x:c>
      <x:c r="B52" s="67" t="str">
        <x:v>TC-PIM-016</x:v>
      </x:c>
      <x:c r="C52" s="67" t="str">
        <x:v>PIM</x:v>
      </x:c>
      <x:c r="D52" s="67" t="str">
        <x:v>Job Details</x:v>
      </x:c>
      <x:c r="E52" s="67" t="str">
        <x:v>TS-PIM-016 — Verify Employment Status and Job details can be updated</x:v>
      </x:c>
      <x:c r="F52" s="67" t="str">
        <x:v>Administrator is authenticated; an employee record exists and Job details are editable.</x:v>
      </x:c>
      <x:c r="G52" s="67" t="str">
        <x:v>1. Navigate to Job tab.
2. Update Job Title, Sub Unit.
3. Save.</x:v>
      </x:c>
      <x:c r="H52" s="67" t="str">
        <x:v>New job title</x:v>
      </x:c>
      <x:c r="I52" s="67" t="str">
        <x:v>Job details updated successfully.</x:v>
      </x:c>
      <x:c r="J52" s="67" t="str">
        <x:v>Not recorded in source workbook (historical status: Pass).</x:v>
      </x:c>
      <x:c r="K52" s="67" t="str">
        <x:v>Medium</x:v>
      </x:c>
      <x:c r="L52" s="67" t="str">
        <x:v>Medium</x:v>
      </x:c>
      <x:c r="M52" s="67" t="str">
        <x:v>Functional - Positive</x:v>
      </x:c>
      <x:c r="N52" s="67" t="str">
        <x:v>Pass</x:v>
      </x:c>
      <x:c r="O52" s="68" t="str">
        <x:v>Regression sequence 48/96. Full-regression case retained from the Deliverable 3 canonical functional suite. Legacy ID: TC_PIM_016. Historical source status retained; detailed execution evidence was not recorded.</x:v>
      </x:c>
    </x:row>
    <x:row r="53">
      <x:c r="A53" s="66" t="str">
        <x:v>RQ-LEV-001</x:v>
      </x:c>
      <x:c r="B53" s="67" t="str">
        <x:v>TC-LEV-001</x:v>
      </x:c>
      <x:c r="C53" s="67" t="str">
        <x:v>Leave</x:v>
      </x:c>
      <x:c r="D53" s="67" t="str">
        <x:v>Leave Navigation</x:v>
      </x:c>
      <x:c r="E53" s="67" t="str">
        <x:v>TS-LEV-001 — Verify Leave module loads with sub-menus</x:v>
      </x:c>
      <x:c r="F53" s="67" t="str">
        <x:v>Authenticated user has access to the Leave module.</x:v>
      </x:c>
      <x:c r="G53" s="67" t="str">
        <x:v>1. Navigate to Leave tab.</x:v>
      </x:c>
      <x:c r="H53" s="67" t="str">
        <x:v>N/A</x:v>
      </x:c>
      <x:c r="I53" s="67" t="str">
        <x:v>Apply, My Leave, Employee List, Leave List, Entitlements, Reports visible.</x:v>
      </x:c>
      <x:c r="J53" s="67" t="str">
        <x:v>Not recorded in source workbook (historical status: Pass).</x:v>
      </x:c>
      <x:c r="K53" s="67" t="str">
        <x:v>High</x:v>
      </x:c>
      <x:c r="L53" s="67" t="str">
        <x:v>High</x:v>
      </x:c>
      <x:c r="M53" s="67" t="str">
        <x:v>UI / Navigation</x:v>
      </x:c>
      <x:c r="N53" s="67" t="str">
        <x:v>Pass</x:v>
      </x:c>
      <x:c r="O53" s="68" t="str">
        <x:v>Regression sequence 49/96. Full-regression case retained from the Deliverable 3 canonical functional suite. Legacy ID: TC_LV_001. Historical source status retained; detailed execution evidence was not recorded.</x:v>
      </x:c>
    </x:row>
    <x:row r="54">
      <x:c r="A54" s="66" t="str">
        <x:v>RQ-LEV-002</x:v>
      </x:c>
      <x:c r="B54" s="67" t="str">
        <x:v>TC-LEV-002</x:v>
      </x:c>
      <x:c r="C54" s="67" t="str">
        <x:v>Leave</x:v>
      </x:c>
      <x:c r="D54" s="67" t="str">
        <x:v>Leave Application</x:v>
      </x:c>
      <x:c r="E54" s="67" t="str">
        <x:v>TS-LEV-002 — Verify applying for leave with valid dates</x:v>
      </x:c>
      <x:c r="F54" s="67" t="str">
        <x:v>Authenticated employee has Leave access; a valid leave type/entitlement and valid future dates are available.</x:v>
      </x:c>
      <x:c r="G54" s="67" t="str">
        <x:v>1. Click Apply.
2. Select Leave Type.
3. Select From/To date.
4. Submit.</x:v>
      </x:c>
      <x:c r="H54" s="67" t="str">
        <x:v>Leave Type: Annual, valid future dates</x:v>
      </x:c>
      <x:c r="I54" s="67" t="str">
        <x:v>Leave application submitted successfully.</x:v>
      </x:c>
      <x:c r="J54" s="67" t="str">
        <x:v>Not recorded in source workbook (historical status: Pass).</x:v>
      </x:c>
      <x:c r="K54" s="67" t="str">
        <x:v>High</x:v>
      </x:c>
      <x:c r="L54" s="67" t="str">
        <x:v>High</x:v>
      </x:c>
      <x:c r="M54" s="67" t="str">
        <x:v>Functional - Positive</x:v>
      </x:c>
      <x:c r="N54" s="67" t="str">
        <x:v>Pass</x:v>
      </x:c>
      <x:c r="O54" s="68" t="str">
        <x:v>Regression sequence 50/96. Full-regression case retained from the Deliverable 3 canonical functional suite. Legacy ID: TC_LV_002. Historical source status retained; detailed execution evidence was not recorded.</x:v>
      </x:c>
    </x:row>
    <x:row r="55">
      <x:c r="A55" s="66" t="str">
        <x:v>RQ-LEV-003</x:v>
      </x:c>
      <x:c r="B55" s="67" t="str">
        <x:v>TC-LEV-003</x:v>
      </x:c>
      <x:c r="C55" s="67" t="str">
        <x:v>Leave</x:v>
      </x:c>
      <x:c r="D55" s="67" t="str">
        <x:v>Leave Date Validation</x:v>
      </x:c>
      <x:c r="E55" s="67" t="str">
        <x:v>TS-LEV-003 — Verify applying leave fails with invalid date range</x:v>
      </x:c>
      <x:c r="F55" s="67" t="str">
        <x:v>Authenticated employee has Leave access and the Apply Leave form is available.</x:v>
      </x:c>
      <x:c r="G55" s="67" t="str">
        <x:v>1. Select From Date later than To Date.
2. Submit.</x:v>
      </x:c>
      <x:c r="H55" s="67" t="str">
        <x:v>From: 20-Sep, To: 15-Sep</x:v>
      </x:c>
      <x:c r="I55" s="67" t="str">
        <x:v>Validation error displayed.</x:v>
      </x:c>
      <x:c r="J55" s="67" t="str">
        <x:v>Not recorded in source workbook (historical status: Pass).</x:v>
      </x:c>
      <x:c r="K55" s="67" t="str">
        <x:v>High</x:v>
      </x:c>
      <x:c r="L55" s="67" t="str">
        <x:v>High</x:v>
      </x:c>
      <x:c r="M55" s="67" t="str">
        <x:v>Functional - Negative</x:v>
      </x:c>
      <x:c r="N55" s="67" t="str">
        <x:v>Pass</x:v>
      </x:c>
      <x:c r="O55" s="68" t="str">
        <x:v>Regression sequence 51/96. Full-regression case retained from the Deliverable 3 canonical functional suite. Legacy ID: TC_LV_003. Historical source status retained; detailed execution evidence was not recorded.</x:v>
      </x:c>
    </x:row>
    <x:row r="56">
      <x:c r="A56" s="66" t="str">
        <x:v>RQ-LEV-004</x:v>
      </x:c>
      <x:c r="B56" s="67" t="str">
        <x:v>TC-LEV-004</x:v>
      </x:c>
      <x:c r="C56" s="67" t="str">
        <x:v>Leave</x:v>
      </x:c>
      <x:c r="D56" s="67" t="str">
        <x:v>Leave Comments</x:v>
      </x:c>
      <x:c r="E56" s="67" t="str">
        <x:v>TS-LEV-004 — Verify applying leave with comments</x:v>
      </x:c>
      <x:c r="F56" s="67" t="str">
        <x:v>Authenticated employee has Leave access; valid leave data is available.</x:v>
      </x:c>
      <x:c r="G56" s="67" t="str">
        <x:v>1. Apply leave.
2. Enter comment.
3. Submit.</x:v>
      </x:c>
      <x:c r="H56" s="67" t="str">
        <x:v>Family emergency</x:v>
      </x:c>
      <x:c r="I56" s="67" t="str">
        <x:v>Leave applied with comment saved.</x:v>
      </x:c>
      <x:c r="J56" s="67" t="str">
        <x:v>Not recorded in source workbook (historical status: Pass).</x:v>
      </x:c>
      <x:c r="K56" s="67" t="str">
        <x:v>Low</x:v>
      </x:c>
      <x:c r="L56" s="67" t="str">
        <x:v>Low</x:v>
      </x:c>
      <x:c r="M56" s="67" t="str">
        <x:v>Functional - Positive</x:v>
      </x:c>
      <x:c r="N56" s="67" t="str">
        <x:v>Pass</x:v>
      </x:c>
      <x:c r="O56" s="68" t="str">
        <x:v>Regression sequence 52/96. Full-regression case retained from the Deliverable 3 canonical functional suite. Legacy ID: TC_LV_004. Historical source status retained; detailed execution evidence was not recorded.</x:v>
      </x:c>
    </x:row>
    <x:row r="57">
      <x:c r="A57" s="66" t="str">
        <x:v>RQ-LEV-005</x:v>
      </x:c>
      <x:c r="B57" s="67" t="str">
        <x:v>TC-LEV-005</x:v>
      </x:c>
      <x:c r="C57" s="67" t="str">
        <x:v>Leave</x:v>
      </x:c>
      <x:c r="D57" s="67" t="str">
        <x:v>Leave List</x:v>
      </x:c>
      <x:c r="E57" s="67" t="str">
        <x:v>TS-LEV-005 — Verify Leave List displays submitted leave requests</x:v>
      </x:c>
      <x:c r="F57" s="67" t="str">
        <x:v>Authenticated user has Leave List access and submitted leave records exist.</x:v>
      </x:c>
      <x:c r="G57" s="67" t="str">
        <x:v>1. Navigate to Leave List.
2. Apply filters.</x:v>
      </x:c>
      <x:c r="H57" s="67" t="str">
        <x:v>N/A</x:v>
      </x:c>
      <x:c r="I57" s="67" t="str">
        <x:v>Matching leave requests displayed with status.</x:v>
      </x:c>
      <x:c r="J57" s="67" t="str">
        <x:v>Not recorded in source workbook (historical status: Pass).</x:v>
      </x:c>
      <x:c r="K57" s="67" t="str">
        <x:v>Medium</x:v>
      </x:c>
      <x:c r="L57" s="67" t="str">
        <x:v>Medium</x:v>
      </x:c>
      <x:c r="M57" s="67" t="str">
        <x:v>Functional - Positive</x:v>
      </x:c>
      <x:c r="N57" s="67" t="str">
        <x:v>Pass</x:v>
      </x:c>
      <x:c r="O57" s="68" t="str">
        <x:v>Regression sequence 53/96. Full-regression case retained from the Deliverable 3 canonical functional suite. Legacy ID: TC_LV_005. Historical source status retained; detailed execution evidence was not recorded.</x:v>
      </x:c>
    </x:row>
    <x:row r="58">
      <x:c r="A58" s="66" t="str">
        <x:v>RQ-LEV-006</x:v>
      </x:c>
      <x:c r="B58" s="67" t="str">
        <x:v>TC-LEV-006</x:v>
      </x:c>
      <x:c r="C58" s="67" t="str">
        <x:v>Leave</x:v>
      </x:c>
      <x:c r="D58" s="67" t="str">
        <x:v>Leave Approval</x:v>
      </x:c>
      <x:c r="E58" s="67" t="str">
        <x:v>TS-LEV-006 — Verify Admin can approve a pending leave request</x:v>
      </x:c>
      <x:c r="F58" s="67" t="str">
        <x:v>Administrator is authenticated; a pending leave request exists and is eligible for approval.</x:v>
      </x:c>
      <x:c r="G58" s="67" t="str">
        <x:v>1. Navigate to Leave List.
2. Select pending leave.
3. Change status to Approved.</x:v>
      </x:c>
      <x:c r="H58" s="67" t="str">
        <x:v>Pending leave record</x:v>
      </x:c>
      <x:c r="I58" s="67" t="str">
        <x:v>Status updated to "Approved".</x:v>
      </x:c>
      <x:c r="J58" s="67" t="str">
        <x:v>Not recorded in source workbook (historical status: Pass).</x:v>
      </x:c>
      <x:c r="K58" s="67" t="str">
        <x:v>High</x:v>
      </x:c>
      <x:c r="L58" s="67" t="str">
        <x:v>High</x:v>
      </x:c>
      <x:c r="M58" s="67" t="str">
        <x:v>Functional - Positive</x:v>
      </x:c>
      <x:c r="N58" s="67" t="str">
        <x:v>Pass</x:v>
      </x:c>
      <x:c r="O58" s="68" t="str">
        <x:v>Regression sequence 54/96. Full-regression case retained from the Deliverable 3 canonical functional suite. Legacy ID: TC_LV_006. Historical source status retained; detailed execution evidence was not recorded.</x:v>
      </x:c>
    </x:row>
    <x:row r="59">
      <x:c r="A59" s="66" t="str">
        <x:v>RQ-LEV-006</x:v>
      </x:c>
      <x:c r="B59" s="67" t="str">
        <x:v>TC-LEV-007</x:v>
      </x:c>
      <x:c r="C59" s="67" t="str">
        <x:v>Leave</x:v>
      </x:c>
      <x:c r="D59" s="67" t="str">
        <x:v>Leave Rejection</x:v>
      </x:c>
      <x:c r="E59" s="67" t="str">
        <x:v>TS-LEV-006 — Verify Admin can reject a pending leave request</x:v>
      </x:c>
      <x:c r="F59" s="67" t="str">
        <x:v>Administrator is authenticated; a pending leave request exists and is eligible for rejection.</x:v>
      </x:c>
      <x:c r="G59" s="67" t="str">
        <x:v>1. Select pending leave.
2. Change status to Rejected.</x:v>
      </x:c>
      <x:c r="H59" s="67" t="str">
        <x:v>Pending leave record</x:v>
      </x:c>
      <x:c r="I59" s="67" t="str">
        <x:v>Status updated to "Rejected".</x:v>
      </x:c>
      <x:c r="J59" s="67" t="str">
        <x:v>Not recorded in source workbook (historical status: Pass).</x:v>
      </x:c>
      <x:c r="K59" s="67" t="str">
        <x:v>High</x:v>
      </x:c>
      <x:c r="L59" s="67" t="str">
        <x:v>High</x:v>
      </x:c>
      <x:c r="M59" s="67" t="str">
        <x:v>Functional - Positive</x:v>
      </x:c>
      <x:c r="N59" s="67" t="str">
        <x:v>Pass</x:v>
      </x:c>
      <x:c r="O59" s="68" t="str">
        <x:v>Regression sequence 55/96. Full-regression case retained from the Deliverable 3 canonical functional suite. Legacy ID: TC_LV_007. Historical source status retained; detailed execution evidence was not recorded.</x:v>
      </x:c>
    </x:row>
    <x:row r="60">
      <x:c r="A60" s="66" t="str">
        <x:v>RQ-LEV-007</x:v>
      </x:c>
      <x:c r="B60" s="67" t="str">
        <x:v>TC-LEV-008</x:v>
      </x:c>
      <x:c r="C60" s="67" t="str">
        <x:v>Leave</x:v>
      </x:c>
      <x:c r="D60" s="67" t="str">
        <x:v>My Leave</x:v>
      </x:c>
      <x:c r="E60" s="67" t="str">
        <x:v>TS-LEV-007 — Verify My Leave shows logged-in user's leave history</x:v>
      </x:c>
      <x:c r="F60" s="67" t="str">
        <x:v>Authenticated employee has at least one leave record or the history view is accessible.</x:v>
      </x:c>
      <x:c r="G60" s="67" t="str">
        <x:v>1. Navigate to My Leave.</x:v>
      </x:c>
      <x:c r="H60" s="67" t="str">
        <x:v>N/A</x:v>
      </x:c>
      <x:c r="I60" s="67" t="str">
        <x:v>Only current user's leave records displayed.</x:v>
      </x:c>
      <x:c r="J60" s="67" t="str">
        <x:v>Not recorded in source workbook (historical status: Pass).</x:v>
      </x:c>
      <x:c r="K60" s="67" t="str">
        <x:v>Medium</x:v>
      </x:c>
      <x:c r="L60" s="67" t="str">
        <x:v>Medium</x:v>
      </x:c>
      <x:c r="M60" s="67" t="str">
        <x:v>Functional - Positive</x:v>
      </x:c>
      <x:c r="N60" s="67" t="str">
        <x:v>Pass</x:v>
      </x:c>
      <x:c r="O60" s="68" t="str">
        <x:v>Regression sequence 56/96. Full-regression case retained from the Deliverable 3 canonical functional suite. Legacy ID: TC_LV_008. Historical source status retained; detailed execution evidence was not recorded.</x:v>
      </x:c>
    </x:row>
    <x:row r="61">
      <x:c r="A61" s="66" t="str">
        <x:v>RQ-LEV-008</x:v>
      </x:c>
      <x:c r="B61" s="67" t="str">
        <x:v>TC-LEV-009</x:v>
      </x:c>
      <x:c r="C61" s="67" t="str">
        <x:v>Leave</x:v>
      </x:c>
      <x:c r="D61" s="67" t="str">
        <x:v>Leave Entitlements</x:v>
      </x:c>
      <x:c r="E61" s="67" t="str">
        <x:v>TS-LEV-008 — Verify Leave Entitlements can be added for employee</x:v>
      </x:c>
      <x:c r="F61" s="67" t="str">
        <x:v>Administrator is authenticated; target employee and leave type exist.</x:v>
      </x:c>
      <x:c r="G61" s="67" t="str">
        <x:v>1. Navigate to Entitlements &gt; Add.
2. Select employee, leave type, days.
3. Submit.</x:v>
      </x:c>
      <x:c r="H61" s="67" t="str">
        <x:v>Employee, 10 days Annual leave</x:v>
      </x:c>
      <x:c r="I61" s="67" t="str">
        <x:v>Entitlement added and reflected in employee's balance.</x:v>
      </x:c>
      <x:c r="J61" s="67" t="str">
        <x:v>Not recorded in source workbook (historical status: Pass).</x:v>
      </x:c>
      <x:c r="K61" s="67" t="str">
        <x:v>Medium</x:v>
      </x:c>
      <x:c r="L61" s="67" t="str">
        <x:v>Medium</x:v>
      </x:c>
      <x:c r="M61" s="67" t="str">
        <x:v>Functional - Positive</x:v>
      </x:c>
      <x:c r="N61" s="67" t="str">
        <x:v>Pass</x:v>
      </x:c>
      <x:c r="O61" s="68" t="str">
        <x:v>Regression sequence 57/96. Full-regression case retained from the Deliverable 3 canonical functional suite. Legacy ID: TC_LV_009. Historical source status retained; detailed execution evidence was not recorded.</x:v>
      </x:c>
    </x:row>
    <x:row r="62">
      <x:c r="A62" s="66" t="str">
        <x:v>RQ-LEV-009</x:v>
      </x:c>
      <x:c r="B62" s="67" t="str">
        <x:v>TC-LEV-010</x:v>
      </x:c>
      <x:c r="C62" s="67" t="str">
        <x:v>Leave</x:v>
      </x:c>
      <x:c r="D62" s="67" t="str">
        <x:v>Leave Period Configuration</x:v>
      </x:c>
      <x:c r="E62" s="67" t="str">
        <x:v>TS-LEV-009 — Verify Leave Period configuration under Configure</x:v>
      </x:c>
      <x:c r="F62" s="67" t="str">
        <x:v>Administrator is authenticated and Configure &gt; Leave Period is accessible.</x:v>
      </x:c>
      <x:c r="G62" s="67" t="str">
        <x:v>1. Navigate to Configure &gt; Leave Period.
2. Set start date.</x:v>
      </x:c>
      <x:c r="H62" s="67" t="str">
        <x:v>Leave period date</x:v>
      </x:c>
      <x:c r="I62" s="67" t="str">
        <x:v>Leave period updated successfully.</x:v>
      </x:c>
      <x:c r="J62" s="67" t="str">
        <x:v>Not recorded in source workbook (historical status: Pass).</x:v>
      </x:c>
      <x:c r="K62" s="67" t="str">
        <x:v>Low</x:v>
      </x:c>
      <x:c r="L62" s="67" t="str">
        <x:v>Low</x:v>
      </x:c>
      <x:c r="M62" s="67" t="str">
        <x:v>Functional - Positive</x:v>
      </x:c>
      <x:c r="N62" s="67" t="str">
        <x:v>Pass</x:v>
      </x:c>
      <x:c r="O62" s="68" t="str">
        <x:v>Regression sequence 58/96. Full-regression case retained from the Deliverable 3 canonical functional suite. Legacy ID: TC_LV_010. Historical source status retained; detailed execution evidence was not recorded.</x:v>
      </x:c>
    </x:row>
    <x:row r="63">
      <x:c r="A63" s="66" t="str">
        <x:v>RQ-TIM-001</x:v>
      </x:c>
      <x:c r="B63" s="67" t="str">
        <x:v>TC-TIM-001</x:v>
      </x:c>
      <x:c r="C63" s="67" t="str">
        <x:v>Time</x:v>
      </x:c>
      <x:c r="D63" s="67" t="str">
        <x:v>Timesheets</x:v>
      </x:c>
      <x:c r="E63" s="67" t="str">
        <x:v>TS-TIM-001 — Verify Time module loads Timesheets page</x:v>
      </x:c>
      <x:c r="F63" s="67" t="str">
        <x:v>Authenticated user has access to the Time module.</x:v>
      </x:c>
      <x:c r="G63" s="67" t="str">
        <x:v>1. Navigate to Time tab.</x:v>
      </x:c>
      <x:c r="H63" s="67" t="str">
        <x:v>N/A</x:v>
      </x:c>
      <x:c r="I63" s="67" t="str">
        <x:v>Timesheet view for current period displayed.</x:v>
      </x:c>
      <x:c r="J63" s="67" t="str">
        <x:v>Not recorded in source workbook (historical status: Pass).</x:v>
      </x:c>
      <x:c r="K63" s="67" t="str">
        <x:v>High</x:v>
      </x:c>
      <x:c r="L63" s="67" t="str">
        <x:v>High</x:v>
      </x:c>
      <x:c r="M63" s="67" t="str">
        <x:v>UI / Navigation</x:v>
      </x:c>
      <x:c r="N63" s="67" t="str">
        <x:v>Pass</x:v>
      </x:c>
      <x:c r="O63" s="68" t="str">
        <x:v>Regression sequence 59/96. Full-regression case retained from the Deliverable 3 canonical functional suite. Legacy ID: TC_TM_001. Historical source status retained; detailed execution evidence was not recorded.</x:v>
      </x:c>
    </x:row>
    <x:row r="64">
      <x:c r="A64" s="66" t="str">
        <x:v>RQ-TIM-002</x:v>
      </x:c>
      <x:c r="B64" s="67" t="str">
        <x:v>TC-TIM-002</x:v>
      </x:c>
      <x:c r="C64" s="67" t="str">
        <x:v>Time</x:v>
      </x:c>
      <x:c r="D64" s="67" t="str">
        <x:v>Timesheet Entry</x:v>
      </x:c>
      <x:c r="E64" s="67" t="str">
        <x:v>TS-TIM-002 — Verify creating a new timesheet entry</x:v>
      </x:c>
      <x:c r="F64" s="67" t="str">
        <x:v>Authenticated user has Time access; an active project/activity is available for timesheet entry.</x:v>
      </x:c>
      <x:c r="G64" s="67" t="str">
        <x:v>1. Click Timesheets.
2. Add project/activity.
3. Enter hours.
4. Save.</x:v>
      </x:c>
      <x:c r="H64" s="67" t="str">
        <x:v>Project X, 8 hrs</x:v>
      </x:c>
      <x:c r="I64" s="67" t="str">
        <x:v>Entry saved in timesheet grid.</x:v>
      </x:c>
      <x:c r="J64" s="67" t="str">
        <x:v>Not recorded in source workbook (historical status: Pass).</x:v>
      </x:c>
      <x:c r="K64" s="67" t="str">
        <x:v>High</x:v>
      </x:c>
      <x:c r="L64" s="67" t="str">
        <x:v>High</x:v>
      </x:c>
      <x:c r="M64" s="67" t="str">
        <x:v>Functional - Positive</x:v>
      </x:c>
      <x:c r="N64" s="67" t="str">
        <x:v>Pass</x:v>
      </x:c>
      <x:c r="O64" s="68" t="str">
        <x:v>Regression sequence 60/96. Full-regression case retained from the Deliverable 3 canonical functional suite. Legacy ID: TC_TM_002. Historical source status retained; detailed execution evidence was not recorded.</x:v>
      </x:c>
    </x:row>
    <x:row r="65">
      <x:c r="A65" s="66" t="str">
        <x:v>RQ-TIM-003</x:v>
      </x:c>
      <x:c r="B65" s="67" t="str">
        <x:v>TC-TIM-003</x:v>
      </x:c>
      <x:c r="C65" s="67" t="str">
        <x:v>Time</x:v>
      </x:c>
      <x:c r="D65" s="67" t="str">
        <x:v>Timesheet Submission</x:v>
      </x:c>
      <x:c r="E65" s="67" t="str">
        <x:v>TS-TIM-003 — Verify submitting a timesheet for approval</x:v>
      </x:c>
      <x:c r="F65" s="67" t="str">
        <x:v>Authenticated user has a complete saved timesheet eligible for submission.</x:v>
      </x:c>
      <x:c r="G65" s="67" t="str">
        <x:v>1. Fill timesheet.
2. Click Submit.</x:v>
      </x:c>
      <x:c r="H65" s="67" t="str">
        <x:v>Complete week's hours</x:v>
      </x:c>
      <x:c r="I65" s="67" t="str">
        <x:v>Timesheet status changes to "Submitted".</x:v>
      </x:c>
      <x:c r="J65" s="67" t="str">
        <x:v>Not recorded in source workbook (historical status: Pass).</x:v>
      </x:c>
      <x:c r="K65" s="67" t="str">
        <x:v>High</x:v>
      </x:c>
      <x:c r="L65" s="67" t="str">
        <x:v>High</x:v>
      </x:c>
      <x:c r="M65" s="67" t="str">
        <x:v>Functional - Positive</x:v>
      </x:c>
      <x:c r="N65" s="67" t="str">
        <x:v>Pass</x:v>
      </x:c>
      <x:c r="O65" s="68" t="str">
        <x:v>Regression sequence 61/96. Full-regression case retained from the Deliverable 3 canonical functional suite. Legacy ID: TC_TM_003. Historical source status retained; detailed execution evidence was not recorded.</x:v>
      </x:c>
    </x:row>
    <x:row r="66">
      <x:c r="A66" s="66" t="str">
        <x:v>RQ-TIM-004</x:v>
      </x:c>
      <x:c r="B66" s="67" t="str">
        <x:v>TC-TIM-004</x:v>
      </x:c>
      <x:c r="C66" s="67" t="str">
        <x:v>Time</x:v>
      </x:c>
      <x:c r="D66" s="67" t="str">
        <x:v>Timesheet Approval</x:v>
      </x:c>
      <x:c r="E66" s="67" t="str">
        <x:v>TS-TIM-004 — Verify Admin can approve submitted timesheet</x:v>
      </x:c>
      <x:c r="F66" s="67" t="str">
        <x:v>Administrator is authenticated; a submitted timesheet exists and is eligible for approval.</x:v>
      </x:c>
      <x:c r="G66" s="67" t="str">
        <x:v>1. Navigate to submitted timesheet.
2. Click Approve.</x:v>
      </x:c>
      <x:c r="H66" s="67" t="str">
        <x:v>Submitted timesheet</x:v>
      </x:c>
      <x:c r="I66" s="67" t="str">
        <x:v>Status changes to "Approved".</x:v>
      </x:c>
      <x:c r="J66" s="67" t="str">
        <x:v>Not recorded in source workbook (historical status: Pass).</x:v>
      </x:c>
      <x:c r="K66" s="67" t="str">
        <x:v>High</x:v>
      </x:c>
      <x:c r="L66" s="67" t="str">
        <x:v>High</x:v>
      </x:c>
      <x:c r="M66" s="67" t="str">
        <x:v>Functional - Positive</x:v>
      </x:c>
      <x:c r="N66" s="67" t="str">
        <x:v>Pass</x:v>
      </x:c>
      <x:c r="O66" s="68" t="str">
        <x:v>Regression sequence 62/96. Full-regression case retained from the Deliverable 3 canonical functional suite. Legacy ID: TC_TM_004. Historical source status retained; detailed execution evidence was not recorded.</x:v>
      </x:c>
    </x:row>
    <x:row r="67">
      <x:c r="A67" s="66" t="str">
        <x:v>RQ-TIM-005</x:v>
      </x:c>
      <x:c r="B67" s="67" t="str">
        <x:v>TC-TIM-005</x:v>
      </x:c>
      <x:c r="C67" s="67" t="str">
        <x:v>Time</x:v>
      </x:c>
      <x:c r="D67" s="67" t="str">
        <x:v>Attendance - Punch In</x:v>
      </x:c>
      <x:c r="E67" s="67" t="str">
        <x:v>TS-TIM-005 — Verify Punch In functionality</x:v>
      </x:c>
      <x:c r="F67" s="67" t="str">
        <x:v>Authenticated employee has Attendance access and is not currently punched in.</x:v>
      </x:c>
      <x:c r="G67" s="67" t="str">
        <x:v>1. Navigate to Attendance &gt; Punch In.
2. Click Punch In.</x:v>
      </x:c>
      <x:c r="H67" s="67" t="str">
        <x:v>Current timestamp</x:v>
      </x:c>
      <x:c r="I67" s="67" t="str">
        <x:v>Punch In record created with timestamp.</x:v>
      </x:c>
      <x:c r="J67" s="67" t="str">
        <x:v>Not recorded in source workbook (historical status: Pass).</x:v>
      </x:c>
      <x:c r="K67" s="67" t="str">
        <x:v>High</x:v>
      </x:c>
      <x:c r="L67" s="67" t="str">
        <x:v>High</x:v>
      </x:c>
      <x:c r="M67" s="67" t="str">
        <x:v>Functional - Positive</x:v>
      </x:c>
      <x:c r="N67" s="67" t="str">
        <x:v>Pass</x:v>
      </x:c>
      <x:c r="O67" s="68" t="str">
        <x:v>Regression sequence 63/96. Full-regression case retained from the Deliverable 3 canonical functional suite. Legacy ID: TC_TM_005. Historical source status retained; detailed execution evidence was not recorded.</x:v>
      </x:c>
    </x:row>
    <x:row r="68">
      <x:c r="A68" s="66" t="str">
        <x:v>RQ-TIM-005</x:v>
      </x:c>
      <x:c r="B68" s="67" t="str">
        <x:v>TC-TIM-006</x:v>
      </x:c>
      <x:c r="C68" s="67" t="str">
        <x:v>Time</x:v>
      </x:c>
      <x:c r="D68" s="67" t="str">
        <x:v>Attendance - Punch Out</x:v>
      </x:c>
      <x:c r="E68" s="67" t="str">
        <x:v>TS-TIM-005 — Verify Punch Out functionality</x:v>
      </x:c>
      <x:c r="F68" s="67" t="str">
        <x:v>Authenticated employee has an active Punch In record.</x:v>
      </x:c>
      <x:c r="G68" s="67" t="str">
        <x:v>1. Navigate to Attendance.
2. Click Punch Out.</x:v>
      </x:c>
      <x:c r="H68" s="67" t="str">
        <x:v>Current timestamp</x:v>
      </x:c>
      <x:c r="I68" s="67" t="str">
        <x:v>Punch Out record created, duration calculated.</x:v>
      </x:c>
      <x:c r="J68" s="67" t="str">
        <x:v>Not recorded in source workbook (historical status: Pass).</x:v>
      </x:c>
      <x:c r="K68" s="67" t="str">
        <x:v>High</x:v>
      </x:c>
      <x:c r="L68" s="67" t="str">
        <x:v>High</x:v>
      </x:c>
      <x:c r="M68" s="67" t="str">
        <x:v>Functional - Positive</x:v>
      </x:c>
      <x:c r="N68" s="67" t="str">
        <x:v>Pass</x:v>
      </x:c>
      <x:c r="O68" s="68" t="str">
        <x:v>Regression sequence 64/96. Full-regression case retained from the Deliverable 3 canonical functional suite. Legacy ID: TC_TM_006. Historical source status retained; detailed execution evidence was not recorded.</x:v>
      </x:c>
    </x:row>
    <x:row r="69">
      <x:c r="A69" s="66" t="str">
        <x:v>RQ-TIM-006</x:v>
      </x:c>
      <x:c r="B69" s="67" t="str">
        <x:v>TC-TIM-007</x:v>
      </x:c>
      <x:c r="C69" s="67" t="str">
        <x:v>Time</x:v>
      </x:c>
      <x:c r="D69" s="67" t="str">
        <x:v>Employee Time Reports</x:v>
      </x:c>
      <x:c r="E69" s="67" t="str">
        <x:v>TS-TIM-006 — Verify Employee Reports can be generated for Time</x:v>
      </x:c>
      <x:c r="F69" s="67" t="str">
        <x:v>Authorized user has Time Reports access; target employee has time data in the selected date range.</x:v>
      </x:c>
      <x:c r="G69" s="67" t="str">
        <x:v>1. Navigate to Reports.
2. Select employee &amp; date range.
3. Generate.</x:v>
      </x:c>
      <x:c r="H69" s="67" t="str">
        <x:v>Valid employee, date range</x:v>
      </x:c>
      <x:c r="I69" s="67" t="str">
        <x:v>Report displays correct logged hours.</x:v>
      </x:c>
      <x:c r="J69" s="67" t="str">
        <x:v>Not recorded in source workbook (historical status: Pass).</x:v>
      </x:c>
      <x:c r="K69" s="67" t="str">
        <x:v>Medium</x:v>
      </x:c>
      <x:c r="L69" s="67" t="str">
        <x:v>Medium</x:v>
      </x:c>
      <x:c r="M69" s="67" t="str">
        <x:v>Functional - Positive</x:v>
      </x:c>
      <x:c r="N69" s="67" t="str">
        <x:v>Pass</x:v>
      </x:c>
      <x:c r="O69" s="68" t="str">
        <x:v>Regression sequence 65/96. Full-regression case retained from the Deliverable 3 canonical functional suite. Legacy ID: TC_TM_007. Historical source status retained; detailed execution evidence was not recorded.</x:v>
      </x:c>
    </x:row>
    <x:row r="70">
      <x:c r="A70" s="66" t="str">
        <x:v>RQ-TIM-007</x:v>
      </x:c>
      <x:c r="B70" s="67" t="str">
        <x:v>TC-TIM-008</x:v>
      </x:c>
      <x:c r="C70" s="67" t="str">
        <x:v>Time</x:v>
      </x:c>
      <x:c r="D70" s="67" t="str">
        <x:v>Project Information</x:v>
      </x:c>
      <x:c r="E70" s="67" t="str">
        <x:v>TS-TIM-007 — Verify Project entries can be added under Time &gt; Project Info</x:v>
      </x:c>
      <x:c r="F70" s="67" t="str">
        <x:v>Administrator is authenticated; Project Info is accessible and valid customer/project data is available.</x:v>
      </x:c>
      <x:c r="G70" s="67" t="str">
        <x:v>1. Navigate to Project Info.
2. Add new project.
3. Save.</x:v>
      </x:c>
      <x:c r="H70" s="67" t="str">
        <x:v>Project name, customer</x:v>
      </x:c>
      <x:c r="I70" s="67" t="str">
        <x:v>Project added and available for timesheet selection.</x:v>
      </x:c>
      <x:c r="J70" s="67" t="str">
        <x:v>Not recorded in source workbook (historical status: Pass).</x:v>
      </x:c>
      <x:c r="K70" s="67" t="str">
        <x:v>Medium</x:v>
      </x:c>
      <x:c r="L70" s="67" t="str">
        <x:v>Medium</x:v>
      </x:c>
      <x:c r="M70" s="67" t="str">
        <x:v>Functional - Positive</x:v>
      </x:c>
      <x:c r="N70" s="67" t="str">
        <x:v>Pass</x:v>
      </x:c>
      <x:c r="O70" s="68" t="str">
        <x:v>Regression sequence 66/96. Full-regression case retained from the Deliverable 3 canonical functional suite. Legacy ID: TC_TM_008. Historical source status retained; detailed execution evidence was not recorded.</x:v>
      </x:c>
    </x:row>
    <x:row r="71">
      <x:c r="A71" s="66" t="str">
        <x:v>RQ-REC-001</x:v>
      </x:c>
      <x:c r="B71" s="67" t="str">
        <x:v>TC-REC-001</x:v>
      </x:c>
      <x:c r="C71" s="67" t="str">
        <x:v>Recruitment</x:v>
      </x:c>
      <x:c r="D71" s="67" t="str">
        <x:v>Candidates List</x:v>
      </x:c>
      <x:c r="E71" s="67" t="str">
        <x:v>TS-REC-001 — Verify Recruitment module loads Candidates list</x:v>
      </x:c>
      <x:c r="F71" s="67" t="str">
        <x:v>Authenticated user has access to the Recruitment module.</x:v>
      </x:c>
      <x:c r="G71" s="67" t="str">
        <x:v>1. Navigate to Recruitment tab.</x:v>
      </x:c>
      <x:c r="H71" s="67" t="str">
        <x:v>N/A</x:v>
      </x:c>
      <x:c r="I71" s="67" t="str">
        <x:v>Candidate list grid displayed.</x:v>
      </x:c>
      <x:c r="J71" s="67" t="str">
        <x:v>Not recorded in source workbook (historical status: Pass).</x:v>
      </x:c>
      <x:c r="K71" s="67" t="str">
        <x:v>High</x:v>
      </x:c>
      <x:c r="L71" s="67" t="str">
        <x:v>High</x:v>
      </x:c>
      <x:c r="M71" s="67" t="str">
        <x:v>UI / Navigation</x:v>
      </x:c>
      <x:c r="N71" s="67" t="str">
        <x:v>Pass</x:v>
      </x:c>
      <x:c r="O71" s="68" t="str">
        <x:v>Regression sequence 67/96. Full-regression case retained from the Deliverable 3 canonical functional suite. Legacy ID: TC_REC_001. Historical source status retained; detailed execution evidence was not recorded.</x:v>
      </x:c>
    </x:row>
    <x:row r="72">
      <x:c r="A72" s="66" t="str">
        <x:v>RQ-REC-002</x:v>
      </x:c>
      <x:c r="B72" s="67" t="str">
        <x:v>TC-REC-002</x:v>
      </x:c>
      <x:c r="C72" s="67" t="str">
        <x:v>Recruitment</x:v>
      </x:c>
      <x:c r="D72" s="67" t="str">
        <x:v>Candidate Creation</x:v>
      </x:c>
      <x:c r="E72" s="67" t="str">
        <x:v>TS-REC-002 — Verify adding a new candidate with valid details</x:v>
      </x:c>
      <x:c r="F72" s="67" t="str">
        <x:v>Authorized user is authenticated; Recruitment &gt; Candidates is accessible; an active vacancy is available.</x:v>
      </x:c>
      <x:c r="G72" s="67" t="str">
        <x:v>1. Click Add.
2. Enter Name, Email, Vacancy.
3. Save.</x:v>
      </x:c>
      <x:c r="H72" s="67" t="str">
        <x:v>John Smith, valid email, vacancy selected</x:v>
      </x:c>
      <x:c r="I72" s="67" t="str">
        <x:v>Candidate added to Candidates list.</x:v>
      </x:c>
      <x:c r="J72" s="67" t="str">
        <x:v>Not recorded in source workbook (historical status: Pass).</x:v>
      </x:c>
      <x:c r="K72" s="67" t="str">
        <x:v>High</x:v>
      </x:c>
      <x:c r="L72" s="67" t="str">
        <x:v>High</x:v>
      </x:c>
      <x:c r="M72" s="67" t="str">
        <x:v>Functional - Positive</x:v>
      </x:c>
      <x:c r="N72" s="67" t="str">
        <x:v>Pass</x:v>
      </x:c>
      <x:c r="O72" s="68" t="str">
        <x:v>Regression sequence 68/96. Full-regression case retained from the Deliverable 3 canonical functional suite. Legacy ID: TC_REC_002. Historical source status retained; detailed execution evidence was not recorded.</x:v>
      </x:c>
    </x:row>
    <x:row r="73">
      <x:c r="A73" s="66" t="str">
        <x:v>RQ-REC-003</x:v>
      </x:c>
      <x:c r="B73" s="67" t="str">
        <x:v>TC-REC-003</x:v>
      </x:c>
      <x:c r="C73" s="67" t="str">
        <x:v>Recruitment</x:v>
      </x:c>
      <x:c r="D73" s="67" t="str">
        <x:v>Resume Upload</x:v>
      </x:c>
      <x:c r="E73" s="67" t="str">
        <x:v>TS-REC-003 — Verify adding candidate with resume upload</x:v>
      </x:c>
      <x:c r="F73" s="67" t="str">
        <x:v>Authorized user is authenticated; an active vacancy and supported PDF resume fixture are available.</x:v>
      </x:c>
      <x:c r="G73" s="67" t="str">
        <x:v>1. Add candidate.
2. Upload resume file.
3. Save.</x:v>
      </x:c>
      <x:c r="H73" s="67" t="str">
        <x:v>Sample PDF resume</x:v>
      </x:c>
      <x:c r="I73" s="67" t="str">
        <x:v>Candidate saved with resume attached.</x:v>
      </x:c>
      <x:c r="J73" s="67" t="str">
        <x:v>Not recorded in source workbook (historical status: Pass).</x:v>
      </x:c>
      <x:c r="K73" s="67" t="str">
        <x:v>Medium</x:v>
      </x:c>
      <x:c r="L73" s="67" t="str">
        <x:v>Medium</x:v>
      </x:c>
      <x:c r="M73" s="67" t="str">
        <x:v>File Upload</x:v>
      </x:c>
      <x:c r="N73" s="67" t="str">
        <x:v>Pass</x:v>
      </x:c>
      <x:c r="O73" s="68" t="str">
        <x:v>Regression sequence 69/96. Full-regression case retained from the Deliverable 3 canonical functional suite. Legacy ID: TC_REC_003. Historical source status retained; detailed execution evidence was not recorded.</x:v>
      </x:c>
    </x:row>
    <x:row r="74">
      <x:c r="A74" s="66" t="str">
        <x:v>RQ-REC-004</x:v>
      </x:c>
      <x:c r="B74" s="67" t="str">
        <x:v>TC-REC-004</x:v>
      </x:c>
      <x:c r="C74" s="67" t="str">
        <x:v>Recruitment</x:v>
      </x:c>
      <x:c r="D74" s="67" t="str">
        <x:v>Required Field Validation</x:v>
      </x:c>
      <x:c r="E74" s="67" t="str">
        <x:v>TS-REC-004 — Verify mandatory field validation on Add Candidate</x:v>
      </x:c>
      <x:c r="F74" s="67" t="str">
        <x:v>Authorized user is authenticated and the Add Candidate form is open.</x:v>
      </x:c>
      <x:c r="G74" s="67" t="str">
        <x:v>1. Click Save without Name/Email.</x:v>
      </x:c>
      <x:c r="H74" s="67" t="str">
        <x:v>N/A</x:v>
      </x:c>
      <x:c r="I74" s="67" t="str">
        <x:v>Required validation messages shown.</x:v>
      </x:c>
      <x:c r="J74" s="67" t="str">
        <x:v>Not recorded in source workbook (historical status: Pass).</x:v>
      </x:c>
      <x:c r="K74" s="67" t="str">
        <x:v>High</x:v>
      </x:c>
      <x:c r="L74" s="67" t="str">
        <x:v>High</x:v>
      </x:c>
      <x:c r="M74" s="67" t="str">
        <x:v>Functional - Negative</x:v>
      </x:c>
      <x:c r="N74" s="67" t="str">
        <x:v>Pass</x:v>
      </x:c>
      <x:c r="O74" s="68" t="str">
        <x:v>Regression sequence 70/96. Full-regression case retained from the Deliverable 3 canonical functional suite. Legacy ID: TC_REC_004. Historical source status retained; detailed execution evidence was not recorded.</x:v>
      </x:c>
    </x:row>
    <x:row r="75">
      <x:c r="A75" s="66" t="str">
        <x:v>RQ-REC-005</x:v>
      </x:c>
      <x:c r="B75" s="67" t="str">
        <x:v>TC-REC-005</x:v>
      </x:c>
      <x:c r="C75" s="67" t="str">
        <x:v>Recruitment</x:v>
      </x:c>
      <x:c r="D75" s="67" t="str">
        <x:v>Email Validation</x:v>
      </x:c>
      <x:c r="E75" s="67" t="str">
        <x:v>TS-REC-005 — Verify invalid email format validation</x:v>
      </x:c>
      <x:c r="F75" s="67" t="str">
        <x:v>Authorized user is authenticated and the Add Candidate form is open.</x:v>
      </x:c>
      <x:c r="G75" s="67" t="str">
        <x:v>1. Enter invalid email format.
2. Save.</x:v>
      </x:c>
      <x:c r="H75" s="67" t="str">
        <x:v>john.smith (no domain)</x:v>
      </x:c>
      <x:c r="I75" s="67" t="str">
        <x:v>Error: "Expected format not matched".</x:v>
      </x:c>
      <x:c r="J75" s="67" t="str">
        <x:v>Not recorded in source workbook (historical status: Fail).</x:v>
      </x:c>
      <x:c r="K75" s="67" t="str">
        <x:v>Medium</x:v>
      </x:c>
      <x:c r="L75" s="67" t="str">
        <x:v>Medium</x:v>
      </x:c>
      <x:c r="M75" s="67" t="str">
        <x:v>Functional - Negative</x:v>
      </x:c>
      <x:c r="N75" s="67" t="str">
        <x:v>Fail</x:v>
      </x:c>
      <x:c r="O75" s="68" t="str">
        <x:v>Regression sequence 71/96. Full-regression case retained from the Deliverable 3 canonical functional suite. Legacy ID: TC_REC_005. Source failure retained; controlled triage is required before defect confirmation. Linked defect: BUG-003. Status retained from historical source baseline; formal reproduction/evidence remains pending.</x:v>
      </x:c>
    </x:row>
    <x:row r="76">
      <x:c r="A76" s="66" t="str">
        <x:v>RQ-REC-006</x:v>
      </x:c>
      <x:c r="B76" s="67" t="str">
        <x:v>TC-REC-006</x:v>
      </x:c>
      <x:c r="C76" s="67" t="str">
        <x:v>Recruitment</x:v>
      </x:c>
      <x:c r="D76" s="67" t="str">
        <x:v>Vacancy Creation</x:v>
      </x:c>
      <x:c r="E76" s="67" t="str">
        <x:v>TS-REC-006 — Verify adding a new Vacancy</x:v>
      </x:c>
      <x:c r="F76" s="67" t="str">
        <x:v>Authorized user is authenticated; Vacancies is accessible; a valid job title and hiring manager exist.</x:v>
      </x:c>
      <x:c r="G76" s="67" t="str">
        <x:v>1. Navigate to Vacancies &gt; Add.
2. Enter Job Title, Hiring Manager.
3. Save.</x:v>
      </x:c>
      <x:c r="H76" s="67" t="str">
        <x:v>Job Title: QA Engineer</x:v>
      </x:c>
      <x:c r="I76" s="67" t="str">
        <x:v>Vacancy created and listed.</x:v>
      </x:c>
      <x:c r="J76" s="67" t="str">
        <x:v>Not recorded in source workbook (historical status: Pass).</x:v>
      </x:c>
      <x:c r="K76" s="67" t="str">
        <x:v>High</x:v>
      </x:c>
      <x:c r="L76" s="67" t="str">
        <x:v>High</x:v>
      </x:c>
      <x:c r="M76" s="67" t="str">
        <x:v>Functional - Positive</x:v>
      </x:c>
      <x:c r="N76" s="67" t="str">
        <x:v>Pass</x:v>
      </x:c>
      <x:c r="O76" s="68" t="str">
        <x:v>Regression sequence 72/96. Full-regression case retained from the Deliverable 3 canonical functional suite. Legacy ID: TC_REC_006. Historical source status retained; detailed execution evidence was not recorded.</x:v>
      </x:c>
    </x:row>
    <x:row r="77">
      <x:c r="A77" s="66" t="str">
        <x:v>RQ-REC-007</x:v>
      </x:c>
      <x:c r="B77" s="67" t="str">
        <x:v>TC-REC-007</x:v>
      </x:c>
      <x:c r="C77" s="67" t="str">
        <x:v>Recruitment</x:v>
      </x:c>
      <x:c r="D77" s="67" t="str">
        <x:v>Candidate Workflow</x:v>
      </x:c>
      <x:c r="E77" s="67" t="str">
        <x:v>TS-REC-007 — Verify changing candidate status through recruitment pipeline</x:v>
      </x:c>
      <x:c r="F77" s="67" t="str">
        <x:v>Authorized user is authenticated; a candidate exists in a status that can move to Shortlisted.</x:v>
      </x:c>
      <x:c r="G77" s="67" t="str">
        <x:v>1. Open candidate.
2. Change status.
3. Save.</x:v>
      </x:c>
      <x:c r="H77" s="67" t="str">
        <x:v>Status change to "Shortlisted"</x:v>
      </x:c>
      <x:c r="I77" s="67" t="str">
        <x:v>Status updated and history logged.</x:v>
      </x:c>
      <x:c r="J77" s="67" t="str">
        <x:v>Not recorded in source workbook (historical status: Pass).</x:v>
      </x:c>
      <x:c r="K77" s="67" t="str">
        <x:v>High</x:v>
      </x:c>
      <x:c r="L77" s="67" t="str">
        <x:v>High</x:v>
      </x:c>
      <x:c r="M77" s="67" t="str">
        <x:v>Functional - Positive</x:v>
      </x:c>
      <x:c r="N77" s="67" t="str">
        <x:v>Pass</x:v>
      </x:c>
      <x:c r="O77" s="68" t="str">
        <x:v>Regression sequence 73/96. Full-regression case retained from the Deliverable 3 canonical functional suite. Legacy ID: TC_REC_007. Historical source status retained; detailed execution evidence was not recorded.</x:v>
      </x:c>
    </x:row>
    <x:row r="78">
      <x:c r="A78" s="66" t="str">
        <x:v>RQ-REC-008</x:v>
      </x:c>
      <x:c r="B78" s="67" t="str">
        <x:v>TC-REC-008</x:v>
      </x:c>
      <x:c r="C78" s="67" t="str">
        <x:v>Recruitment</x:v>
      </x:c>
      <x:c r="D78" s="67" t="str">
        <x:v>Candidate Search</x:v>
      </x:c>
      <x:c r="E78" s="67" t="str">
        <x:v>TS-REC-008 — Verify search/filter candidates by Vacancy and Status</x:v>
      </x:c>
      <x:c r="F78" s="67" t="str">
        <x:v>Authorized user is authenticated; candidate records exist for the selected vacancy/status filters.</x:v>
      </x:c>
      <x:c r="G78" s="67" t="str">
        <x:v>1. Apply filters.
2. Click Search.</x:v>
      </x:c>
      <x:c r="H78" s="67" t="str">
        <x:v>Vacancy: QA Engineer, Status: Applied</x:v>
      </x:c>
      <x:c r="I78" s="67" t="str">
        <x:v>Matching candidates displayed.</x:v>
      </x:c>
      <x:c r="J78" s="67" t="str">
        <x:v>Not recorded in source workbook (historical status: Pass).</x:v>
      </x:c>
      <x:c r="K78" s="67" t="str">
        <x:v>Medium</x:v>
      </x:c>
      <x:c r="L78" s="67" t="str">
        <x:v>Medium</x:v>
      </x:c>
      <x:c r="M78" s="67" t="str">
        <x:v>Functional - Positive</x:v>
      </x:c>
      <x:c r="N78" s="67" t="str">
        <x:v>Pass</x:v>
      </x:c>
      <x:c r="O78" s="68" t="str">
        <x:v>Regression sequence 74/96. Full-regression case retained from the Deliverable 3 canonical functional suite. Legacy ID: TC_REC_008. Historical source status retained; detailed execution evidence was not recorded.</x:v>
      </x:c>
    </x:row>
    <x:row r="79">
      <x:c r="A79" s="66" t="str">
        <x:v>RQ-MYI-001</x:v>
      </x:c>
      <x:c r="B79" s="67" t="str">
        <x:v>TC-MYI-001</x:v>
      </x:c>
      <x:c r="C79" s="67" t="str">
        <x:v>My Info</x:v>
      </x:c>
      <x:c r="D79" s="67" t="str">
        <x:v>Personal Details</x:v>
      </x:c>
      <x:c r="E79" s="67" t="str">
        <x:v>TS-MYI-001 — Verify My Info displays logged-in employee's personal details</x:v>
      </x:c>
      <x:c r="F79" s="67" t="str">
        <x:v>Authenticated employee has access to My Info.</x:v>
      </x:c>
      <x:c r="G79" s="67" t="str">
        <x:v>1. Navigate to My Info.</x:v>
      </x:c>
      <x:c r="H79" s="67" t="str">
        <x:v>N/A</x:v>
      </x:c>
      <x:c r="I79" s="67" t="str">
        <x:v>Personal details of logged-in user displayed.</x:v>
      </x:c>
      <x:c r="J79" s="67" t="str">
        <x:v>Not recorded in source workbook (historical status: Pass).</x:v>
      </x:c>
      <x:c r="K79" s="67" t="str">
        <x:v>High</x:v>
      </x:c>
      <x:c r="L79" s="67" t="str">
        <x:v>High</x:v>
      </x:c>
      <x:c r="M79" s="67" t="str">
        <x:v>Functional - Positive</x:v>
      </x:c>
      <x:c r="N79" s="67" t="str">
        <x:v>Pass</x:v>
      </x:c>
      <x:c r="O79" s="68" t="str">
        <x:v>Regression sequence 75/96. Full-regression case retained from the Deliverable 3 canonical functional suite. Legacy ID: TC_MI_001. Historical source status retained; detailed execution evidence was not recorded.</x:v>
      </x:c>
    </x:row>
    <x:row r="80">
      <x:c r="A80" s="66" t="str">
        <x:v>RQ-MYI-002</x:v>
      </x:c>
      <x:c r="B80" s="67" t="str">
        <x:v>TC-MYI-002</x:v>
      </x:c>
      <x:c r="C80" s="67" t="str">
        <x:v>My Info</x:v>
      </x:c>
      <x:c r="D80" s="67" t="str">
        <x:v>Contact Details</x:v>
      </x:c>
      <x:c r="E80" s="67" t="str">
        <x:v>TS-MYI-002 — Verify updating own contact details via My Info</x:v>
      </x:c>
      <x:c r="F80" s="67" t="str">
        <x:v>Authenticated employee has access to editable Contact Details in My Info.</x:v>
      </x:c>
      <x:c r="G80" s="67" t="str">
        <x:v>1. Navigate to Contact Details.
2. Update phone number.
3. Save.</x:v>
      </x:c>
      <x:c r="H80" s="67" t="str">
        <x:v>New phone number</x:v>
      </x:c>
      <x:c r="I80" s="67" t="str">
        <x:v>Update saved successfully.</x:v>
      </x:c>
      <x:c r="J80" s="67" t="str">
        <x:v>Not recorded in source workbook (historical status: Pass).</x:v>
      </x:c>
      <x:c r="K80" s="67" t="str">
        <x:v>Medium</x:v>
      </x:c>
      <x:c r="L80" s="67" t="str">
        <x:v>Medium</x:v>
      </x:c>
      <x:c r="M80" s="67" t="str">
        <x:v>Functional - Positive</x:v>
      </x:c>
      <x:c r="N80" s="67" t="str">
        <x:v>Pass</x:v>
      </x:c>
      <x:c r="O80" s="68" t="str">
        <x:v>Regression sequence 76/96. Full-regression case retained from the Deliverable 3 canonical functional suite. Legacy ID: TC_MI_002. Historical source status retained; detailed execution evidence was not recorded.</x:v>
      </x:c>
    </x:row>
    <x:row r="81">
      <x:c r="A81" s="66" t="str">
        <x:v>RQ-MYI-003</x:v>
      </x:c>
      <x:c r="B81" s="67" t="str">
        <x:v>TC-MYI-003</x:v>
      </x:c>
      <x:c r="C81" s="67" t="str">
        <x:v>My Info</x:v>
      </x:c>
      <x:c r="D81" s="67" t="str">
        <x:v>Profile Picture</x:v>
      </x:c>
      <x:c r="E81" s="67" t="str">
        <x:v>TS-MYI-003 — Verify uploading profile picture via My Info</x:v>
      </x:c>
      <x:c r="F81" s="67" t="str">
        <x:v>Authenticated employee has access to My Info; a supported image fixture is available.</x:v>
      </x:c>
      <x:c r="G81" s="67" t="str">
        <x:v>1. Click profile photo edit.
2. Upload new image.
3. Save.</x:v>
      </x:c>
      <x:c r="H81" s="67" t="str">
        <x:v>Valid image file</x:v>
      </x:c>
      <x:c r="I81" s="67" t="str">
        <x:v>Profile picture updated.</x:v>
      </x:c>
      <x:c r="J81" s="67" t="str">
        <x:v>Not recorded in source workbook (historical status: Pass).</x:v>
      </x:c>
      <x:c r="K81" s="67" t="str">
        <x:v>Low</x:v>
      </x:c>
      <x:c r="L81" s="67" t="str">
        <x:v>Low</x:v>
      </x:c>
      <x:c r="M81" s="67" t="str">
        <x:v>File Upload</x:v>
      </x:c>
      <x:c r="N81" s="67" t="str">
        <x:v>Pass</x:v>
      </x:c>
      <x:c r="O81" s="68" t="str">
        <x:v>Regression sequence 77/96. Full-regression case retained from the Deliverable 3 canonical functional suite. Legacy ID: TC_MI_003. Historical source status retained; detailed execution evidence was not recorded.</x:v>
      </x:c>
    </x:row>
    <x:row r="82">
      <x:c r="A82" s="66" t="str">
        <x:v>RQ-MYI-004</x:v>
      </x:c>
      <x:c r="B82" s="67" t="str">
        <x:v>TC-MYI-004</x:v>
      </x:c>
      <x:c r="C82" s="67" t="str">
        <x:v>My Info</x:v>
      </x:c>
      <x:c r="D82" s="67" t="str">
        <x:v>Role Permissions</x:v>
      </x:c>
      <x:c r="E82" s="67" t="str">
        <x:v>TS-MYI-004 — Verify My Info restricts editing of Job/Salary details for ESS user</x:v>
      </x:c>
      <x:c r="F82" s="67" t="str">
        <x:v>ESS user account is available and authenticated; My Info &gt; Job/Salary areas are accessible for permission verification.</x:v>
      </x:c>
      <x:c r="G82" s="67" t="str">
        <x:v>1. Login as ESS user.
2. Navigate to Job tab.</x:v>
      </x:c>
      <x:c r="H82" s="67" t="str">
        <x:v>ESS user login</x:v>
      </x:c>
      <x:c r="I82" s="67" t="str">
        <x:v>Fields read-only/restricted based on permission.</x:v>
      </x:c>
      <x:c r="J82" s="67" t="str">
        <x:v>Not recorded in source workbook (historical status: Fail).</x:v>
      </x:c>
      <x:c r="K82" s="67" t="str">
        <x:v>High</x:v>
      </x:c>
      <x:c r="L82" s="67" t="str">
        <x:v>High</x:v>
      </x:c>
      <x:c r="M82" s="67" t="str">
        <x:v>Role / Permission</x:v>
      </x:c>
      <x:c r="N82" s="67" t="str">
        <x:v>Fail</x:v>
      </x:c>
      <x:c r="O82" s="68" t="str">
        <x:v>Regression sequence 78/96. Full-regression case retained from the Deliverable 3 canonical functional suite. Legacy ID: TC_MI_004. Source failure retained; controlled triage is required before defect confirmation. Linked defect: BUG-004. Status retained from historical source baseline; formal reproduction/evidence remains pending.</x:v>
      </x:c>
    </x:row>
    <x:row r="83">
      <x:c r="A83" s="66" t="str">
        <x:v>RQ-MYI-005</x:v>
      </x:c>
      <x:c r="B83" s="67" t="str">
        <x:v>TC-MYI-005</x:v>
      </x:c>
      <x:c r="C83" s="67" t="str">
        <x:v>My Info</x:v>
      </x:c>
      <x:c r="D83" s="67" t="str">
        <x:v>Change Password</x:v>
      </x:c>
      <x:c r="E83" s="67" t="str">
        <x:v>TS-MYI-005 — Verify Change Password functionality from My Info/Profile</x:v>
      </x:c>
      <x:c r="F83" s="67" t="str">
        <x:v>Authenticated user knows the current password and can access Change Password.</x:v>
      </x:c>
      <x:c r="G83" s="67" t="str">
        <x:v>1. Click profile dropdown.
2. Select Change Password.
3. Enter current &amp; new password.
4. Save.</x:v>
      </x:c>
      <x:c r="H83" s="67" t="str">
        <x:v>Valid current password, new password</x:v>
      </x:c>
      <x:c r="I83" s="67" t="str">
        <x:v>Password updated successfully, re-login required.</x:v>
      </x:c>
      <x:c r="J83" s="67" t="str">
        <x:v>Not recorded in source workbook (historical status: Pass).</x:v>
      </x:c>
      <x:c r="K83" s="67" t="str">
        <x:v>High</x:v>
      </x:c>
      <x:c r="L83" s="67" t="str">
        <x:v>High</x:v>
      </x:c>
      <x:c r="M83" s="67" t="str">
        <x:v>Functional - Positive</x:v>
      </x:c>
      <x:c r="N83" s="67" t="str">
        <x:v>Pass</x:v>
      </x:c>
      <x:c r="O83" s="68" t="str">
        <x:v>Regression sequence 79/96. Full-regression case retained from the Deliverable 3 canonical functional suite. Legacy ID: TC_MI_005. Historical source status retained; detailed execution evidence was not recorded.</x:v>
      </x:c>
    </x:row>
    <x:row r="84">
      <x:c r="A84" s="66" t="str">
        <x:v>RQ-MYI-006</x:v>
      </x:c>
      <x:c r="B84" s="67" t="str">
        <x:v>TC-MYI-006</x:v>
      </x:c>
      <x:c r="C84" s="67" t="str">
        <x:v>My Info</x:v>
      </x:c>
      <x:c r="D84" s="67" t="str">
        <x:v>Dependents</x:v>
      </x:c>
      <x:c r="E84" s="67" t="str">
        <x:v>TS-MYI-006 — Verify Dependents tab accessible and editable from My Info</x:v>
      </x:c>
      <x:c r="F84" s="67" t="str">
        <x:v>Authenticated employee has access to My Info &gt; Dependents.</x:v>
      </x:c>
      <x:c r="G84" s="67" t="str">
        <x:v>1. Navigate to Dependents.
2. Add dependent.
3. Save.</x:v>
      </x:c>
      <x:c r="H84" s="67" t="str">
        <x:v>Dependent details</x:v>
      </x:c>
      <x:c r="I84" s="67" t="str">
        <x:v>Record saved under logged-in user's profile.</x:v>
      </x:c>
      <x:c r="J84" s="67" t="str">
        <x:v>Not recorded in source workbook (historical status: Pass).</x:v>
      </x:c>
      <x:c r="K84" s="67" t="str">
        <x:v>Low</x:v>
      </x:c>
      <x:c r="L84" s="67" t="str">
        <x:v>Low</x:v>
      </x:c>
      <x:c r="M84" s="67" t="str">
        <x:v>Functional - Positive</x:v>
      </x:c>
      <x:c r="N84" s="67" t="str">
        <x:v>Pass</x:v>
      </x:c>
      <x:c r="O84" s="68" t="str">
        <x:v>Regression sequence 80/96. Full-regression case retained from the Deliverable 3 canonical functional suite. Legacy ID: TC_MI_006. Historical source status retained; detailed execution evidence was not recorded.</x:v>
      </x:c>
    </x:row>
    <x:row r="85">
      <x:c r="A85" s="66" t="str">
        <x:v>RQ-PRF-001</x:v>
      </x:c>
      <x:c r="B85" s="67" t="str">
        <x:v>TC-PRF-001</x:v>
      </x:c>
      <x:c r="C85" s="67" t="str">
        <x:v>Performance</x:v>
      </x:c>
      <x:c r="D85" s="67" t="str">
        <x:v>Performance Navigation</x:v>
      </x:c>
      <x:c r="E85" s="67" t="str">
        <x:v>TS-PRF-001 — Verify Performance module loads Configure Trackers page</x:v>
      </x:c>
      <x:c r="F85" s="67" t="str">
        <x:v>Authorized user is authenticated and has access to the Performance module.</x:v>
      </x:c>
      <x:c r="G85" s="67" t="str">
        <x:v>1. Navigate to Performance tab.</x:v>
      </x:c>
      <x:c r="H85" s="67" t="str">
        <x:v>N/A</x:v>
      </x:c>
      <x:c r="I85" s="67" t="str">
        <x:v>Manage Reviews / Trackers page displayed.</x:v>
      </x:c>
      <x:c r="J85" s="67" t="str">
        <x:v>Not recorded in source workbook (historical status: Pass).</x:v>
      </x:c>
      <x:c r="K85" s="67" t="str">
        <x:v>Medium</x:v>
      </x:c>
      <x:c r="L85" s="67" t="str">
        <x:v>Medium</x:v>
      </x:c>
      <x:c r="M85" s="67" t="str">
        <x:v>UI / Navigation</x:v>
      </x:c>
      <x:c r="N85" s="67" t="str">
        <x:v>Pass</x:v>
      </x:c>
      <x:c r="O85" s="68" t="str">
        <x:v>Regression sequence 81/96. Full-regression case retained from the Deliverable 3 canonical functional suite. Legacy ID: TC_PERF_001. Historical source status retained; detailed execution evidence was not recorded.</x:v>
      </x:c>
    </x:row>
    <x:row r="86">
      <x:c r="A86" s="66" t="str">
        <x:v>RQ-PRF-002</x:v>
      </x:c>
      <x:c r="B86" s="67" t="str">
        <x:v>TC-PRF-002</x:v>
      </x:c>
      <x:c r="C86" s="67" t="str">
        <x:v>Performance</x:v>
      </x:c>
      <x:c r="D86" s="67" t="str">
        <x:v>Performance Reviews</x:v>
      </x:c>
      <x:c r="E86" s="67" t="str">
        <x:v>TS-PRF-002 — Verify adding a new Performance Review</x:v>
      </x:c>
      <x:c r="F86" s="67" t="str">
        <x:v>Authorized user is authenticated; valid employee, reviewer, and review dates are available.</x:v>
      </x:c>
      <x:c r="G86" s="67" t="str">
        <x:v>1. Click Manage Reviews &gt; Add.
2. Select employee, reviewer, dates.
3. Save.</x:v>
      </x:c>
      <x:c r="H86" s="67" t="str">
        <x:v>Valid employee &amp; date range</x:v>
      </x:c>
      <x:c r="I86" s="67" t="str">
        <x:v>Review created and listed.</x:v>
      </x:c>
      <x:c r="J86" s="67" t="str">
        <x:v>Not recorded in source workbook (historical status: Pass).</x:v>
      </x:c>
      <x:c r="K86" s="67" t="str">
        <x:v>High</x:v>
      </x:c>
      <x:c r="L86" s="67" t="str">
        <x:v>High</x:v>
      </x:c>
      <x:c r="M86" s="67" t="str">
        <x:v>Functional - Positive</x:v>
      </x:c>
      <x:c r="N86" s="67" t="str">
        <x:v>Pass</x:v>
      </x:c>
      <x:c r="O86" s="68" t="str">
        <x:v>Regression sequence 82/96. Full-regression case retained from the Deliverable 3 canonical functional suite. Legacy ID: TC_PERF_002. Historical source status retained; detailed execution evidence was not recorded.</x:v>
      </x:c>
    </x:row>
    <x:row r="87">
      <x:c r="A87" s="66" t="str">
        <x:v>RQ-PRF-003</x:v>
      </x:c>
      <x:c r="B87" s="67" t="str">
        <x:v>TC-PRF-003</x:v>
      </x:c>
      <x:c r="C87" s="67" t="str">
        <x:v>Performance</x:v>
      </x:c>
      <x:c r="D87" s="67" t="str">
        <x:v>KPI Configuration</x:v>
      </x:c>
      <x:c r="E87" s="67" t="str">
        <x:v>TS-PRF-003 — Verify adding KPI under Job Title</x:v>
      </x:c>
      <x:c r="F87" s="67" t="str">
        <x:v>Authorized user is authenticated; a valid Job Title exists for KPI association.</x:v>
      </x:c>
      <x:c r="G87" s="67" t="str">
        <x:v>1. Navigate to Configure &gt; KPIs.
2. Add KPI for a job title.
3. Save.</x:v>
      </x:c>
      <x:c r="H87" s="67" t="str">
        <x:v>KPI name, weightage</x:v>
      </x:c>
      <x:c r="I87" s="67" t="str">
        <x:v>KPI saved and linked to job title.</x:v>
      </x:c>
      <x:c r="J87" s="67" t="str">
        <x:v>Not recorded in source workbook (historical status: Pass).</x:v>
      </x:c>
      <x:c r="K87" s="67" t="str">
        <x:v>Medium</x:v>
      </x:c>
      <x:c r="L87" s="67" t="str">
        <x:v>Medium</x:v>
      </x:c>
      <x:c r="M87" s="67" t="str">
        <x:v>Functional - Positive</x:v>
      </x:c>
      <x:c r="N87" s="67" t="str">
        <x:v>Pass</x:v>
      </x:c>
      <x:c r="O87" s="68" t="str">
        <x:v>Regression sequence 83/96. Full-regression case retained from the Deliverable 3 canonical functional suite. Legacy ID: TC_PERF_003. Historical source status retained; detailed execution evidence was not recorded.</x:v>
      </x:c>
    </x:row>
    <x:row r="88">
      <x:c r="A88" s="66" t="str">
        <x:v>RQ-PRF-004</x:v>
      </x:c>
      <x:c r="B88" s="67" t="str">
        <x:v>TC-PRF-004</x:v>
      </x:c>
      <x:c r="C88" s="67" t="str">
        <x:v>Performance</x:v>
      </x:c>
      <x:c r="D88" s="67" t="str">
        <x:v>Employee Trend Report</x:v>
      </x:c>
      <x:c r="E88" s="67" t="str">
        <x:v>TS-PRF-004 — Verify generating Employee Trend Report</x:v>
      </x:c>
      <x:c r="F88" s="67" t="str">
        <x:v>Authorized user is authenticated; target employee has performance data available for reporting.</x:v>
      </x:c>
      <x:c r="G88" s="67" t="str">
        <x:v>1. Navigate to Employee Trend Report.
2. Select employee &amp; filters.
3. Generate.</x:v>
      </x:c>
      <x:c r="H88" s="67" t="str">
        <x:v>Valid employee</x:v>
      </x:c>
      <x:c r="I88" s="67" t="str">
        <x:v>Report displays performance trend data.</x:v>
      </x:c>
      <x:c r="J88" s="67" t="str">
        <x:v>Not recorded in source workbook (historical status: Pass).</x:v>
      </x:c>
      <x:c r="K88" s="67" t="str">
        <x:v>Low</x:v>
      </x:c>
      <x:c r="L88" s="67" t="str">
        <x:v>Low</x:v>
      </x:c>
      <x:c r="M88" s="67" t="str">
        <x:v>Functional - Positive</x:v>
      </x:c>
      <x:c r="N88" s="67" t="str">
        <x:v>Pass</x:v>
      </x:c>
      <x:c r="O88" s="68" t="str">
        <x:v>Regression sequence 84/96. Full-regression case retained from the Deliverable 3 canonical functional suite. Legacy ID: TC_PERF_004. Historical source status retained; detailed execution evidence was not recorded.</x:v>
      </x:c>
    </x:row>
    <x:row r="89">
      <x:c r="A89" s="66" t="str">
        <x:v>RQ-PRF-005</x:v>
      </x:c>
      <x:c r="B89" s="67" t="str">
        <x:v>TC-PRF-005</x:v>
      </x:c>
      <x:c r="C89" s="67" t="str">
        <x:v>Performance</x:v>
      </x:c>
      <x:c r="D89" s="67" t="str">
        <x:v>Review Search</x:v>
      </x:c>
      <x:c r="E89" s="67" t="str">
        <x:v>TS-PRF-005 — Verify Manage Reviews search/filter functionality</x:v>
      </x:c>
      <x:c r="F89" s="67" t="str">
        <x:v>Authorized user is authenticated; review records exist for the selected filters.</x:v>
      </x:c>
      <x:c r="G89" s="67" t="str">
        <x:v>1. Apply filters by Status/Job Title.
2. Search.</x:v>
      </x:c>
      <x:c r="H89" s="67" t="str">
        <x:v>Status: Activated</x:v>
      </x:c>
      <x:c r="I89" s="67" t="str">
        <x:v>Matching reviews displayed.</x:v>
      </x:c>
      <x:c r="J89" s="67" t="str">
        <x:v>Not recorded in source workbook (historical status: Pass).</x:v>
      </x:c>
      <x:c r="K89" s="67" t="str">
        <x:v>Medium</x:v>
      </x:c>
      <x:c r="L89" s="67" t="str">
        <x:v>Medium</x:v>
      </x:c>
      <x:c r="M89" s="67" t="str">
        <x:v>Functional - Positive</x:v>
      </x:c>
      <x:c r="N89" s="67" t="str">
        <x:v>Pass</x:v>
      </x:c>
      <x:c r="O89" s="68" t="str">
        <x:v>Regression sequence 85/96. Full-regression case retained from the Deliverable 3 canonical functional suite. Legacy ID: TC_PERF_005. Historical source status retained; detailed execution evidence was not recorded.</x:v>
      </x:c>
    </x:row>
    <x:row r="90">
      <x:c r="A90" s="66" t="str">
        <x:v>RQ-DIR-001</x:v>
      </x:c>
      <x:c r="B90" s="67" t="str">
        <x:v>TC-DIR-001</x:v>
      </x:c>
      <x:c r="C90" s="67" t="str">
        <x:v>Directory</x:v>
      </x:c>
      <x:c r="D90" s="67" t="str">
        <x:v>Directory Listing</x:v>
      </x:c>
      <x:c r="E90" s="67" t="str">
        <x:v>TS-DIR-001 — Verify Directory page loads employee list with search</x:v>
      </x:c>
      <x:c r="F90" s="67" t="str">
        <x:v>Authenticated user has access to the Directory module.</x:v>
      </x:c>
      <x:c r="G90" s="67" t="str">
        <x:v>1. Navigate to Directory tab.</x:v>
      </x:c>
      <x:c r="H90" s="67" t="str">
        <x:v>N/A</x:v>
      </x:c>
      <x:c r="I90" s="67" t="str">
        <x:v>Employee directory grid with search filters displayed.</x:v>
      </x:c>
      <x:c r="J90" s="67" t="str">
        <x:v>Not recorded in source workbook (historical status: Pass).</x:v>
      </x:c>
      <x:c r="K90" s="67" t="str">
        <x:v>Medium</x:v>
      </x:c>
      <x:c r="L90" s="67" t="str">
        <x:v>Medium</x:v>
      </x:c>
      <x:c r="M90" s="67" t="str">
        <x:v>UI / Navigation</x:v>
      </x:c>
      <x:c r="N90" s="67" t="str">
        <x:v>Pass</x:v>
      </x:c>
      <x:c r="O90" s="68" t="str">
        <x:v>Regression sequence 86/96. Full-regression case retained from the Deliverable 3 canonical functional suite. Legacy ID: TC_DIR_001. Historical source status retained; detailed execution evidence was not recorded.</x:v>
      </x:c>
    </x:row>
    <x:row r="91">
      <x:c r="A91" s="66" t="str">
        <x:v>RQ-DIR-002</x:v>
      </x:c>
      <x:c r="B91" s="67" t="str">
        <x:v>TC-DIR-002</x:v>
      </x:c>
      <x:c r="C91" s="67" t="str">
        <x:v>Directory</x:v>
      </x:c>
      <x:c r="D91" s="67" t="str">
        <x:v>Employee Search</x:v>
      </x:c>
      <x:c r="E91" s="67" t="str">
        <x:v>TS-DIR-002 — Verify searching directory by Employee Name</x:v>
      </x:c>
      <x:c r="F91" s="67" t="str">
        <x:v>Authenticated user has Directory access; an employee with a known searchable name exists.</x:v>
      </x:c>
      <x:c r="G91" s="67" t="str">
        <x:v>1. Enter name in search.
2. Click Search.</x:v>
      </x:c>
      <x:c r="H91" s="67" t="str">
        <x:v>John</x:v>
      </x:c>
      <x:c r="I91" s="67" t="str">
        <x:v>Matching employee(s) with job title &amp; location shown.</x:v>
      </x:c>
      <x:c r="J91" s="67" t="str">
        <x:v>Not recorded in source workbook (historical status: Pass).</x:v>
      </x:c>
      <x:c r="K91" s="67" t="str">
        <x:v>Medium</x:v>
      </x:c>
      <x:c r="L91" s="67" t="str">
        <x:v>Medium</x:v>
      </x:c>
      <x:c r="M91" s="67" t="str">
        <x:v>Functional - Positive</x:v>
      </x:c>
      <x:c r="N91" s="67" t="str">
        <x:v>Pass</x:v>
      </x:c>
      <x:c r="O91" s="68" t="str">
        <x:v>Regression sequence 87/96. Full-regression case retained from the Deliverable 3 canonical functional suite. Legacy ID: TC_DIR_002. Historical source status retained; detailed execution evidence was not recorded.</x:v>
      </x:c>
    </x:row>
    <x:row r="92">
      <x:c r="A92" s="66" t="str">
        <x:v>RQ-DIR-003</x:v>
      </x:c>
      <x:c r="B92" s="67" t="str">
        <x:v>TC-DIR-003</x:v>
      </x:c>
      <x:c r="C92" s="67" t="str">
        <x:v>Directory</x:v>
      </x:c>
      <x:c r="D92" s="67" t="str">
        <x:v>Job Title &amp; Location Search</x:v>
      </x:c>
      <x:c r="E92" s="67" t="str">
        <x:v>TS-DIR-003 — Verify searching directory by Job Title and Location</x:v>
      </x:c>
      <x:c r="F92" s="67" t="str">
        <x:v>Authenticated user has Directory access; employee records exist for the selected Job Title and Location.</x:v>
      </x:c>
      <x:c r="G92" s="67" t="str">
        <x:v>1. Select Job Title &amp; Location filters.
2. Search.</x:v>
      </x:c>
      <x:c r="H92" s="67" t="str">
        <x:v>Job Title: QA Engineer</x:v>
      </x:c>
      <x:c r="I92" s="67" t="str">
        <x:v>Employees matching criteria displayed.</x:v>
      </x:c>
      <x:c r="J92" s="67" t="str">
        <x:v>Not recorded in source workbook (historical status: Pass).</x:v>
      </x:c>
      <x:c r="K92" s="67" t="str">
        <x:v>Low</x:v>
      </x:c>
      <x:c r="L92" s="67" t="str">
        <x:v>Low</x:v>
      </x:c>
      <x:c r="M92" s="67" t="str">
        <x:v>Functional - Positive</x:v>
      </x:c>
      <x:c r="N92" s="67" t="str">
        <x:v>Pass</x:v>
      </x:c>
      <x:c r="O92" s="68" t="str">
        <x:v>Regression sequence 88/96. Full-regression case retained from the Deliverable 3 canonical functional suite. Legacy ID: TC_DIR_003. Historical source status retained; detailed execution evidence was not recorded.</x:v>
      </x:c>
    </x:row>
    <x:row r="93">
      <x:c r="A93" s="66" t="str">
        <x:v>RQ-DIR-004</x:v>
      </x:c>
      <x:c r="B93" s="67" t="str">
        <x:v>TC-DIR-004</x:v>
      </x:c>
      <x:c r="C93" s="67" t="str">
        <x:v>Directory</x:v>
      </x:c>
      <x:c r="D93" s="67" t="str">
        <x:v>Employee Profile Navigation</x:v>
      </x:c>
      <x:c r="E93" s="67" t="str">
        <x:v>TS-DIR-004 — Verify clicking an employee card navigates to their profile</x:v>
      </x:c>
      <x:c r="F93" s="67" t="str">
        <x:v>Authenticated user has Directory access and at least one employee card is displayed.</x:v>
      </x:c>
      <x:c r="G93" s="67" t="str">
        <x:v>1. Click on an employee's photo/name.</x:v>
      </x:c>
      <x:c r="H93" s="67" t="str">
        <x:v>N/A</x:v>
      </x:c>
      <x:c r="I93" s="67" t="str">
        <x:v>Redirected to that employee's detail view.</x:v>
      </x:c>
      <x:c r="J93" s="67" t="str">
        <x:v>Not recorded in source workbook (historical status: Pass).</x:v>
      </x:c>
      <x:c r="K93" s="67" t="str">
        <x:v>Low</x:v>
      </x:c>
      <x:c r="L93" s="67" t="str">
        <x:v>Low</x:v>
      </x:c>
      <x:c r="M93" s="67" t="str">
        <x:v>UI / Navigation</x:v>
      </x:c>
      <x:c r="N93" s="67" t="str">
        <x:v>Pass</x:v>
      </x:c>
      <x:c r="O93" s="68" t="str">
        <x:v>Regression sequence 89/96. Full-regression case retained from the Deliverable 3 canonical functional suite. Legacy ID: TC_DIR_004. Historical source status retained; detailed execution evidence was not recorded.</x:v>
      </x:c>
    </x:row>
    <x:row r="94">
      <x:c r="A94" s="66" t="str">
        <x:v>RQ-BUZ-001</x:v>
      </x:c>
      <x:c r="B94" s="67" t="str">
        <x:v>TC-BUZ-001</x:v>
      </x:c>
      <x:c r="C94" s="67" t="str">
        <x:v>Buzz</x:v>
      </x:c>
      <x:c r="D94" s="67" t="str">
        <x:v>Buzz Feed</x:v>
      </x:c>
      <x:c r="E94" s="67" t="str">
        <x:v>TS-BUZ-001 — Verify Buzz page loads with post feed</x:v>
      </x:c>
      <x:c r="F94" s="67" t="str">
        <x:v>Authenticated user has access to the Buzz module.</x:v>
      </x:c>
      <x:c r="G94" s="67" t="str">
        <x:v>1. Navigate to Buzz tab.</x:v>
      </x:c>
      <x:c r="H94" s="67" t="str">
        <x:v>N/A</x:v>
      </x:c>
      <x:c r="I94" s="67" t="str">
        <x:v>Post feed with "Share what's on your mind" box displayed.</x:v>
      </x:c>
      <x:c r="J94" s="67" t="str">
        <x:v>Not recorded in source workbook (historical status: Pass).</x:v>
      </x:c>
      <x:c r="K94" s="67" t="str">
        <x:v>Low</x:v>
      </x:c>
      <x:c r="L94" s="67" t="str">
        <x:v>Low</x:v>
      </x:c>
      <x:c r="M94" s="67" t="str">
        <x:v>UI / Navigation</x:v>
      </x:c>
      <x:c r="N94" s="67" t="str">
        <x:v>Pass</x:v>
      </x:c>
      <x:c r="O94" s="68" t="str">
        <x:v>Regression sequence 90/96. Full-regression case retained from the Deliverable 3 canonical functional suite. Legacy ID: TC_BUZZ_001. Historical source status retained; detailed execution evidence was not recorded.</x:v>
      </x:c>
    </x:row>
    <x:row r="95">
      <x:c r="A95" s="66" t="str">
        <x:v>RQ-BUZ-002</x:v>
      </x:c>
      <x:c r="B95" s="67" t="str">
        <x:v>TC-BUZ-002</x:v>
      </x:c>
      <x:c r="C95" s="67" t="str">
        <x:v>Buzz</x:v>
      </x:c>
      <x:c r="D95" s="67" t="str">
        <x:v>Post Creation</x:v>
      </x:c>
      <x:c r="E95" s="67" t="str">
        <x:v>TS-BUZ-002 — Verify creating a new text post</x:v>
      </x:c>
      <x:c r="F95" s="67" t="str">
        <x:v>Authenticated user has access to the Buzz module.</x:v>
      </x:c>
      <x:c r="G95" s="67" t="str">
        <x:v>1. Enter text in post box.
2. Click Post.</x:v>
      </x:c>
      <x:c r="H95" s="67" t="str">
        <x:v>Excited to join the team!</x:v>
      </x:c>
      <x:c r="I95" s="67" t="str">
        <x:v>Post appears at top of feed.</x:v>
      </x:c>
      <x:c r="J95" s="67" t="str">
        <x:v>Not recorded in source workbook (historical status: Pass).</x:v>
      </x:c>
      <x:c r="K95" s="67" t="str">
        <x:v>Medium</x:v>
      </x:c>
      <x:c r="L95" s="67" t="str">
        <x:v>Medium</x:v>
      </x:c>
      <x:c r="M95" s="67" t="str">
        <x:v>Functional - Positive</x:v>
      </x:c>
      <x:c r="N95" s="67" t="str">
        <x:v>Pass</x:v>
      </x:c>
      <x:c r="O95" s="68" t="str">
        <x:v>Regression sequence 91/96. Full-regression case retained from the Deliverable 3 canonical functional suite. Legacy ID: TC_BUZZ_002. Historical source status retained; detailed execution evidence was not recorded.</x:v>
      </x:c>
    </x:row>
    <x:row r="96">
      <x:c r="A96" s="66" t="str">
        <x:v>RQ-BUZ-003</x:v>
      </x:c>
      <x:c r="B96" s="67" t="str">
        <x:v>TC-BUZ-003</x:v>
      </x:c>
      <x:c r="C96" s="67" t="str">
        <x:v>Buzz</x:v>
      </x:c>
      <x:c r="D96" s="67" t="str">
        <x:v>Post Engagement</x:v>
      </x:c>
      <x:c r="E96" s="67" t="str">
        <x:v>TS-BUZ-003 — Verify liking and commenting on a post</x:v>
      </x:c>
      <x:c r="F96" s="67" t="str">
        <x:v>Authenticated user has Buzz access and at least one post is available for interaction.</x:v>
      </x:c>
      <x:c r="G96" s="67" t="str">
        <x:v>1. Click Like on a post.
2. Add a comment.
3. Submit.</x:v>
      </x:c>
      <x:c r="H96" s="67" t="str">
        <x:v>Sample comment text</x:v>
      </x:c>
      <x:c r="I96" s="67" t="str">
        <x:v>Like count increments, comment displayed under post.</x:v>
      </x:c>
      <x:c r="J96" s="67" t="str">
        <x:v>Not recorded in source workbook (historical status: Pass).</x:v>
      </x:c>
      <x:c r="K96" s="67" t="str">
        <x:v>Low</x:v>
      </x:c>
      <x:c r="L96" s="67" t="str">
        <x:v>Low</x:v>
      </x:c>
      <x:c r="M96" s="67" t="str">
        <x:v>Functional - Positive</x:v>
      </x:c>
      <x:c r="N96" s="67" t="str">
        <x:v>Pass</x:v>
      </x:c>
      <x:c r="O96" s="68" t="str">
        <x:v>Regression sequence 92/96. Full-regression case retained from the Deliverable 3 canonical functional suite. Legacy ID: TC_BUZZ_003. Historical source status retained; detailed execution evidence was not recorded.</x:v>
      </x:c>
    </x:row>
    <x:row r="97">
      <x:c r="A97" s="66" t="str">
        <x:v>RQ-SES-001</x:v>
      </x:c>
      <x:c r="B97" s="67" t="str">
        <x:v>TC-SES-001</x:v>
      </x:c>
      <x:c r="C97" s="67" t="str">
        <x:v>Session</x:v>
      </x:c>
      <x:c r="D97" s="67" t="str">
        <x:v>Logout</x:v>
      </x:c>
      <x:c r="E97" s="67" t="str">
        <x:v>TS-SES-001 — Verify successful logout redirects to Login page</x:v>
      </x:c>
      <x:c r="F97" s="67" t="str">
        <x:v>User is authenticated and an active session exists.</x:v>
      </x:c>
      <x:c r="G97" s="67" t="str">
        <x:v>1. Click profile dropdown.
2. Click Logout.</x:v>
      </x:c>
      <x:c r="H97" s="67" t="str">
        <x:v>N/A</x:v>
      </x:c>
      <x:c r="I97" s="67" t="str">
        <x:v>User logged out and redirected to Login screen.</x:v>
      </x:c>
      <x:c r="J97" s="67" t="str">
        <x:v>Not recorded in source workbook (historical status: Pass).</x:v>
      </x:c>
      <x:c r="K97" s="67" t="str">
        <x:v>High</x:v>
      </x:c>
      <x:c r="L97" s="67" t="str">
        <x:v>High</x:v>
      </x:c>
      <x:c r="M97" s="67" t="str">
        <x:v>Session / Access Control</x:v>
      </x:c>
      <x:c r="N97" s="67" t="str">
        <x:v>Pass</x:v>
      </x:c>
      <x:c r="O97" s="68" t="str">
        <x:v>Regression sequence 93/96. Full-regression case retained from the Deliverable 3 canonical functional suite. Legacy ID: TC_SES_001. Historical source status retained; detailed execution evidence was not recorded.</x:v>
      </x:c>
    </x:row>
    <x:row r="98">
      <x:c r="A98" s="66" t="str">
        <x:v>RQ-SES-002</x:v>
      </x:c>
      <x:c r="B98" s="67" t="str">
        <x:v>TC-SES-002</x:v>
      </x:c>
      <x:c r="C98" s="67" t="str">
        <x:v>Session</x:v>
      </x:c>
      <x:c r="D98" s="67" t="str">
        <x:v>Post-Logout Access</x:v>
      </x:c>
      <x:c r="E98" s="67" t="str">
        <x:v>TS-SES-002 — Verify back navigation after logout does not restore session</x:v>
      </x:c>
      <x:c r="F98" s="67" t="str">
        <x:v>User has an active authenticated session and can log out successfully.</x:v>
      </x:c>
      <x:c r="G98" s="67" t="str">
        <x:v>1. Logout.
2. Click browser Back button.</x:v>
      </x:c>
      <x:c r="H98" s="67" t="str">
        <x:v>N/A</x:v>
      </x:c>
      <x:c r="I98" s="67" t="str">
        <x:v>Login page shown; no access to authenticated pages.</x:v>
      </x:c>
      <x:c r="J98" s="67" t="str">
        <x:v>Not recorded in source workbook (historical status: Pass).</x:v>
      </x:c>
      <x:c r="K98" s="67" t="str">
        <x:v>High</x:v>
      </x:c>
      <x:c r="L98" s="67" t="str">
        <x:v>High</x:v>
      </x:c>
      <x:c r="M98" s="67" t="str">
        <x:v>Session / Access Control</x:v>
      </x:c>
      <x:c r="N98" s="67" t="str">
        <x:v>Pass</x:v>
      </x:c>
      <x:c r="O98" s="68" t="str">
        <x:v>Regression sequence 94/96. Full-regression case retained from the Deliverable 3 canonical functional suite. Legacy ID: TC_SES_002. Historical source status retained; detailed execution evidence was not recorded.</x:v>
      </x:c>
    </x:row>
    <x:row r="99">
      <x:c r="A99" s="66" t="str">
        <x:v>RQ-SES-003</x:v>
      </x:c>
      <x:c r="B99" s="67" t="str">
        <x:v>TC-SES-003</x:v>
      </x:c>
      <x:c r="C99" s="67" t="str">
        <x:v>Session</x:v>
      </x:c>
      <x:c r="D99" s="67" t="str">
        <x:v>Session Timeout</x:v>
      </x:c>
      <x:c r="E99" s="67" t="str">
        <x:v>TS-SES-003 — Verify session timeout after prolonged inactivity</x:v>
      </x:c>
      <x:c r="F99" s="67" t="str">
        <x:v>User is authenticated; configured inactivity timeout can be observed in the test environment.</x:v>
      </x:c>
      <x:c r="G99" s="67" t="str">
        <x:v>1. Login.
2. Remain idle beyond session timeout limit.
3. Attempt an action.</x:v>
      </x:c>
      <x:c r="H99" s="67" t="str">
        <x:v>Idle for configured timeout duration</x:v>
      </x:c>
      <x:c r="I99" s="67" t="str">
        <x:v>User prompted to re-login.</x:v>
      </x:c>
      <x:c r="J99" s="67" t="str">
        <x:v>Not recorded in source workbook (historical status: Pass).</x:v>
      </x:c>
      <x:c r="K99" s="67" t="str">
        <x:v>Medium</x:v>
      </x:c>
      <x:c r="L99" s="67" t="str">
        <x:v>High</x:v>
      </x:c>
      <x:c r="M99" s="67" t="str">
        <x:v>Session / Access Control</x:v>
      </x:c>
      <x:c r="N99" s="67" t="str">
        <x:v>Pass</x:v>
      </x:c>
      <x:c r="O99" s="68" t="str">
        <x:v>Regression sequence 95/96. Full-regression case retained from the Deliverable 3 canonical functional suite. Legacy ID: TC_SES_003. Historical source status retained; detailed execution evidence was not recorded.</x:v>
      </x:c>
    </x:row>
    <x:row r="100">
      <x:c r="A100" s="69" t="str">
        <x:v>RQ-SES-004</x:v>
      </x:c>
      <x:c r="B100" s="70" t="str">
        <x:v>TC-SES-004</x:v>
      </x:c>
      <x:c r="C100" s="70" t="str">
        <x:v>Session</x:v>
      </x:c>
      <x:c r="D100" s="70" t="str">
        <x:v>Protected URL Access</x:v>
      </x:c>
      <x:c r="E100" s="70" t="str">
        <x:v>TS-SES-004 — Verify direct URL access to internal pages without login is blocked</x:v>
      </x:c>
      <x:c r="F100" s="70" t="str">
        <x:v>User is logged out; a known internal OrangeHRM module URL is available.</x:v>
      </x:c>
      <x:c r="G100" s="70" t="str">
        <x:v>1. Logout.
2. Manually enter internal module URL.</x:v>
      </x:c>
      <x:c r="H100" s="70" t="str">
        <x:v>Direct URL</x:v>
      </x:c>
      <x:c r="I100" s="70" t="str">
        <x:v>Redirected to Login page, access denied.</x:v>
      </x:c>
      <x:c r="J100" s="70" t="str">
        <x:v>Not recorded in source workbook (historical status: Pass).</x:v>
      </x:c>
      <x:c r="K100" s="70" t="str">
        <x:v>High</x:v>
      </x:c>
      <x:c r="L100" s="70" t="str">
        <x:v>Critical</x:v>
      </x:c>
      <x:c r="M100" s="70" t="str">
        <x:v>Session / Access Control</x:v>
      </x:c>
      <x:c r="N100" s="70" t="str">
        <x:v>Pass</x:v>
      </x:c>
      <x:c r="O100" s="71" t="str">
        <x:v>Regression sequence 96/96. Full-regression case retained from the Deliverable 3 canonical functional suite. Legacy ID: TC_SES_004. Historical source status retained; detailed execution evidence was not recorded.</x:v>
      </x:c>
    </x:row>
  </x:sheetData>
  <x:mergeCells>
    <x:mergeCell ref="A1:O1"/>
    <x:mergeCell ref="A2:O2"/>
  </x:mergeCells>
  <x:conditionalFormatting sqref="N5:N100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</x:conditionalFormatting>
  <x:dataValidations count="3">
    <x:dataValidation type="list" sqref="K5:K100">
      <x:formula1>"High,Medium,Low"</x:formula1>
    </x:dataValidation>
    <x:dataValidation type="list" sqref="L5:L100">
      <x:formula1>"Critical,High,Medium,Low"</x:formula1>
    </x:dataValidation>
    <x:dataValidation type="list" sqref="N5:N100">
      <x:formula1>"Pass,Fail,Blocked,Not Executed"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e9cdf8019c47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3" hidden="0" customWidth="1"/>
    <x:col min="8" max="8" width="13" hidden="0" customWidth="1"/>
    <x:col min="9" max="9" width="11" hidden="0" customWidth="1"/>
    <x:col min="10" max="10" width="10" hidden="0" customWidth="1"/>
    <x:col min="11" max="11" width="38" hidden="0" customWidth="1"/>
  </x:cols>
  <x:sheetData>
    <x:row r="1">
      <x:c r="A1" s="5" t="str">
        <x:v>OrangeHRM — Module Execution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3" t="str">
        <x:v>Module-level execution, pass rate and defect concentration derived from the canonical execution sheet.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22" t="str">
        <x:v>Module</x:v>
      </x:c>
      <x:c r="B4" s="22" t="str">
        <x:v>Total</x:v>
      </x:c>
      <x:c r="C4" s="22" t="str">
        <x:v>Executed</x:v>
      </x:c>
      <x:c r="D4" s="22" t="str">
        <x:v>Passed</x:v>
      </x:c>
      <x:c r="E4" s="22" t="str">
        <x:v>Failed</x:v>
      </x:c>
      <x:c r="F4" s="22" t="str">
        <x:v>Blocked</x:v>
      </x:c>
      <x:c r="G4" s="22" t="str">
        <x:v>Not Executed</x:v>
      </x:c>
      <x:c r="H4" s="22" t="str">
        <x:v>Execution %</x:v>
      </x:c>
      <x:c r="I4" s="22" t="str">
        <x:v>Pass %</x:v>
      </x:c>
      <x:c r="J4" s="22" t="str">
        <x:v>Defects</x:v>
      </x:c>
      <x:c r="K4" s="22" t="str">
        <x:v>QA Observation</x:v>
      </x:c>
    </x:row>
    <x:row r="5">
      <x:c r="A5" s="45" t="str">
        <x:v>Login</x:v>
      </x:c>
      <x:c r="B5" s="46" t="n">
        <x:f>COUNTIF('Test Execution'!$C$5:$C$100,A5)</x:f>
        <x:v>12</x:v>
      </x:c>
      <x:c r="C5" s="46" t="n">
        <x:f>SUM(D5:F5)</x:f>
        <x:v>12</x:v>
      </x:c>
      <x:c r="D5" s="46" t="n">
        <x:f>COUNTIFS('Test Execution'!$C$5:$C$100,A5,'Test Execution'!$N$5:$N$100,"Pass")</x:f>
        <x:v>11</x:v>
      </x:c>
      <x:c r="E5" s="46" t="n">
        <x:f>COUNTIFS('Test Execution'!$C$5:$C$100,A5,'Test Execution'!$N$5:$N$100,"Fail")</x:f>
        <x:v>1</x:v>
      </x:c>
      <x:c r="F5" s="46" t="n">
        <x:f>COUNTIFS('Test Execution'!$C$5:$C$100,A5,'Test Execution'!$N$5:$N$100,"Blocked")</x:f>
        <x:v>0</x:v>
      </x:c>
      <x:c r="G5" s="46" t="n">
        <x:f>COUNTIFS('Test Execution'!$C$5:$C$100,A5,'Test Execution'!$N$5:$N$100,"Not Executed")</x:f>
        <x:v>0</x:v>
      </x:c>
      <x:c r="H5" s="81" t="n">
        <x:f>IF(B5=0,0,C5/B5)</x:f>
        <x:v>1</x:v>
      </x:c>
      <x:c r="I5" s="81" t="n">
        <x:f>IF(C5=0,0,D5/C5)</x:f>
        <x:v>0.9166666666666666</x:v>
      </x:c>
      <x:c r="J5" s="46" t="n">
        <x:f>COUNTIF('Defect Mapping'!$D$5:$D$20,A5)</x:f>
        <x:v>1</x:v>
      </x:c>
      <x:c r="K5" s="47" t="str">
        <x:f>IF(E5&gt;0,"Failed case(s) require reproduction and triage","Historical baseline passed")</x:f>
        <x:v>Failed case(s) require reproduction and triage</x:v>
      </x:c>
    </x:row>
    <x:row r="6">
      <x:c r="A6" s="48" t="str">
        <x:v>Forgot Password</x:v>
      </x:c>
      <x:c r="B6" s="49" t="n">
        <x:f>COUNTIF('Test Execution'!$C$5:$C$100,A6)</x:f>
        <x:v>5</x:v>
      </x:c>
      <x:c r="C6" s="49" t="n">
        <x:f>SUM(D6:F6)</x:f>
        <x:v>5</x:v>
      </x:c>
      <x:c r="D6" s="49" t="n">
        <x:f>COUNTIFS('Test Execution'!$C$5:$C$100,A6,'Test Execution'!$N$5:$N$100,"Pass")</x:f>
        <x:v>4</x:v>
      </x:c>
      <x:c r="E6" s="49" t="n">
        <x:f>COUNTIFS('Test Execution'!$C$5:$C$100,A6,'Test Execution'!$N$5:$N$100,"Fail")</x:f>
        <x:v>1</x:v>
      </x:c>
      <x:c r="F6" s="49" t="n">
        <x:f>COUNTIFS('Test Execution'!$C$5:$C$100,A6,'Test Execution'!$N$5:$N$100,"Blocked")</x:f>
        <x:v>0</x:v>
      </x:c>
      <x:c r="G6" s="49" t="n">
        <x:f>COUNTIFS('Test Execution'!$C$5:$C$100,A6,'Test Execution'!$N$5:$N$100,"Not Executed")</x:f>
        <x:v>0</x:v>
      </x:c>
      <x:c r="H6" s="82" t="n">
        <x:f>IF(B6=0,0,C6/B6)</x:f>
        <x:v>1</x:v>
      </x:c>
      <x:c r="I6" s="82" t="n">
        <x:f>IF(C6=0,0,D6/C6)</x:f>
        <x:v>0.8</x:v>
      </x:c>
      <x:c r="J6" s="49" t="n">
        <x:f>COUNTIF('Defect Mapping'!$D$5:$D$20,A6)</x:f>
        <x:v>1</x:v>
      </x:c>
      <x:c r="K6" s="50" t="str">
        <x:f>IF(E6&gt;0,"Failed case(s) require reproduction and triage","Historical baseline passed")</x:f>
        <x:v>Failed case(s) require reproduction and triage</x:v>
      </x:c>
    </x:row>
    <x:row r="7">
      <x:c r="A7" s="48" t="str">
        <x:v>Dashboard</x:v>
      </x:c>
      <x:c r="B7" s="49" t="n">
        <x:f>COUNTIF('Test Execution'!$C$5:$C$100,A7)</x:f>
        <x:v>5</x:v>
      </x:c>
      <x:c r="C7" s="49" t="n">
        <x:f>SUM(D7:F7)</x:f>
        <x:v>5</x:v>
      </x:c>
      <x:c r="D7" s="49" t="n">
        <x:f>COUNTIFS('Test Execution'!$C$5:$C$100,A7,'Test Execution'!$N$5:$N$100,"Pass")</x:f>
        <x:v>5</x:v>
      </x:c>
      <x:c r="E7" s="49" t="n">
        <x:f>COUNTIFS('Test Execution'!$C$5:$C$100,A7,'Test Execution'!$N$5:$N$100,"Fail")</x:f>
        <x:v>0</x:v>
      </x:c>
      <x:c r="F7" s="49" t="n">
        <x:f>COUNTIFS('Test Execution'!$C$5:$C$100,A7,'Test Execution'!$N$5:$N$100,"Blocked")</x:f>
        <x:v>0</x:v>
      </x:c>
      <x:c r="G7" s="49" t="n">
        <x:f>COUNTIFS('Test Execution'!$C$5:$C$100,A7,'Test Execution'!$N$5:$N$100,"Not Executed")</x:f>
        <x:v>0</x:v>
      </x:c>
      <x:c r="H7" s="82" t="n">
        <x:f>IF(B7=0,0,C7/B7)</x:f>
        <x:v>1</x:v>
      </x:c>
      <x:c r="I7" s="82" t="n">
        <x:f>IF(C7=0,0,D7/C7)</x:f>
        <x:v>1</x:v>
      </x:c>
      <x:c r="J7" s="49" t="n">
        <x:f>COUNTIF('Defect Mapping'!$D$5:$D$20,A7)</x:f>
        <x:v>0</x:v>
      </x:c>
      <x:c r="K7" s="50" t="str">
        <x:f>IF(E7&gt;0,"Failed case(s) require reproduction and triage","Historical baseline passed")</x:f>
        <x:v>Historical baseline passed</x:v>
      </x:c>
    </x:row>
    <x:row r="8">
      <x:c r="A8" s="48" t="str">
        <x:v>Admin</x:v>
      </x:c>
      <x:c r="B8" s="49" t="n">
        <x:f>COUNTIF('Test Execution'!$C$5:$C$100,A8)</x:f>
        <x:v>10</x:v>
      </x:c>
      <x:c r="C8" s="49" t="n">
        <x:f>SUM(D8:F8)</x:f>
        <x:v>10</x:v>
      </x:c>
      <x:c r="D8" s="49" t="n">
        <x:f>COUNTIFS('Test Execution'!$C$5:$C$100,A8,'Test Execution'!$N$5:$N$100,"Pass")</x:f>
        <x:v>10</x:v>
      </x:c>
      <x:c r="E8" s="49" t="n">
        <x:f>COUNTIFS('Test Execution'!$C$5:$C$100,A8,'Test Execution'!$N$5:$N$100,"Fail")</x:f>
        <x:v>0</x:v>
      </x:c>
      <x:c r="F8" s="49" t="n">
        <x:f>COUNTIFS('Test Execution'!$C$5:$C$100,A8,'Test Execution'!$N$5:$N$100,"Blocked")</x:f>
        <x:v>0</x:v>
      </x:c>
      <x:c r="G8" s="49" t="n">
        <x:f>COUNTIFS('Test Execution'!$C$5:$C$100,A8,'Test Execution'!$N$5:$N$100,"Not Executed")</x:f>
        <x:v>0</x:v>
      </x:c>
      <x:c r="H8" s="82" t="n">
        <x:f>IF(B8=0,0,C8/B8)</x:f>
        <x:v>1</x:v>
      </x:c>
      <x:c r="I8" s="82" t="n">
        <x:f>IF(C8=0,0,D8/C8)</x:f>
        <x:v>1</x:v>
      </x:c>
      <x:c r="J8" s="49" t="n">
        <x:f>COUNTIF('Defect Mapping'!$D$5:$D$20,A8)</x:f>
        <x:v>0</x:v>
      </x:c>
      <x:c r="K8" s="50" t="str">
        <x:f>IF(E8&gt;0,"Failed case(s) require reproduction and triage","Historical baseline passed")</x:f>
        <x:v>Historical baseline passed</x:v>
      </x:c>
    </x:row>
    <x:row r="9">
      <x:c r="A9" s="48" t="str">
        <x:v>PIM</x:v>
      </x:c>
      <x:c r="B9" s="49" t="n">
        <x:f>COUNTIF('Test Execution'!$C$5:$C$100,A9)</x:f>
        <x:v>16</x:v>
      </x:c>
      <x:c r="C9" s="49" t="n">
        <x:f>SUM(D9:F9)</x:f>
        <x:v>16</x:v>
      </x:c>
      <x:c r="D9" s="49" t="n">
        <x:f>COUNTIFS('Test Execution'!$C$5:$C$100,A9,'Test Execution'!$N$5:$N$100,"Pass")</x:f>
        <x:v>16</x:v>
      </x:c>
      <x:c r="E9" s="49" t="n">
        <x:f>COUNTIFS('Test Execution'!$C$5:$C$100,A9,'Test Execution'!$N$5:$N$100,"Fail")</x:f>
        <x:v>0</x:v>
      </x:c>
      <x:c r="F9" s="49" t="n">
        <x:f>COUNTIFS('Test Execution'!$C$5:$C$100,A9,'Test Execution'!$N$5:$N$100,"Blocked")</x:f>
        <x:v>0</x:v>
      </x:c>
      <x:c r="G9" s="49" t="n">
        <x:f>COUNTIFS('Test Execution'!$C$5:$C$100,A9,'Test Execution'!$N$5:$N$100,"Not Executed")</x:f>
        <x:v>0</x:v>
      </x:c>
      <x:c r="H9" s="82" t="n">
        <x:f>IF(B9=0,0,C9/B9)</x:f>
        <x:v>1</x:v>
      </x:c>
      <x:c r="I9" s="82" t="n">
        <x:f>IF(C9=0,0,D9/C9)</x:f>
        <x:v>1</x:v>
      </x:c>
      <x:c r="J9" s="49" t="n">
        <x:f>COUNTIF('Defect Mapping'!$D$5:$D$20,A9)</x:f>
        <x:v>0</x:v>
      </x:c>
      <x:c r="K9" s="50" t="str">
        <x:f>IF(E9&gt;0,"Failed case(s) require reproduction and triage","Historical baseline passed")</x:f>
        <x:v>Historical baseline passed</x:v>
      </x:c>
    </x:row>
    <x:row r="10">
      <x:c r="A10" s="48" t="str">
        <x:v>Leave</x:v>
      </x:c>
      <x:c r="B10" s="49" t="n">
        <x:f>COUNTIF('Test Execution'!$C$5:$C$100,A10)</x:f>
        <x:v>10</x:v>
      </x:c>
      <x:c r="C10" s="49" t="n">
        <x:f>SUM(D10:F10)</x:f>
        <x:v>10</x:v>
      </x:c>
      <x:c r="D10" s="49" t="n">
        <x:f>COUNTIFS('Test Execution'!$C$5:$C$100,A10,'Test Execution'!$N$5:$N$100,"Pass")</x:f>
        <x:v>10</x:v>
      </x:c>
      <x:c r="E10" s="49" t="n">
        <x:f>COUNTIFS('Test Execution'!$C$5:$C$100,A10,'Test Execution'!$N$5:$N$100,"Fail")</x:f>
        <x:v>0</x:v>
      </x:c>
      <x:c r="F10" s="49" t="n">
        <x:f>COUNTIFS('Test Execution'!$C$5:$C$100,A10,'Test Execution'!$N$5:$N$100,"Blocked")</x:f>
        <x:v>0</x:v>
      </x:c>
      <x:c r="G10" s="49" t="n">
        <x:f>COUNTIFS('Test Execution'!$C$5:$C$100,A10,'Test Execution'!$N$5:$N$100,"Not Executed")</x:f>
        <x:v>0</x:v>
      </x:c>
      <x:c r="H10" s="82" t="n">
        <x:f>IF(B10=0,0,C10/B10)</x:f>
        <x:v>1</x:v>
      </x:c>
      <x:c r="I10" s="82" t="n">
        <x:f>IF(C10=0,0,D10/C10)</x:f>
        <x:v>1</x:v>
      </x:c>
      <x:c r="J10" s="49" t="n">
        <x:f>COUNTIF('Defect Mapping'!$D$5:$D$20,A10)</x:f>
        <x:v>0</x:v>
      </x:c>
      <x:c r="K10" s="50" t="str">
        <x:f>IF(E10&gt;0,"Failed case(s) require reproduction and triage","Historical baseline passed")</x:f>
        <x:v>Historical baseline passed</x:v>
      </x:c>
    </x:row>
    <x:row r="11">
      <x:c r="A11" s="48" t="str">
        <x:v>Time</x:v>
      </x:c>
      <x:c r="B11" s="49" t="n">
        <x:f>COUNTIF('Test Execution'!$C$5:$C$100,A11)</x:f>
        <x:v>8</x:v>
      </x:c>
      <x:c r="C11" s="49" t="n">
        <x:f>SUM(D11:F11)</x:f>
        <x:v>8</x:v>
      </x:c>
      <x:c r="D11" s="49" t="n">
        <x:f>COUNTIFS('Test Execution'!$C$5:$C$100,A11,'Test Execution'!$N$5:$N$100,"Pass")</x:f>
        <x:v>8</x:v>
      </x:c>
      <x:c r="E11" s="49" t="n">
        <x:f>COUNTIFS('Test Execution'!$C$5:$C$100,A11,'Test Execution'!$N$5:$N$100,"Fail")</x:f>
        <x:v>0</x:v>
      </x:c>
      <x:c r="F11" s="49" t="n">
        <x:f>COUNTIFS('Test Execution'!$C$5:$C$100,A11,'Test Execution'!$N$5:$N$100,"Blocked")</x:f>
        <x:v>0</x:v>
      </x:c>
      <x:c r="G11" s="49" t="n">
        <x:f>COUNTIFS('Test Execution'!$C$5:$C$100,A11,'Test Execution'!$N$5:$N$100,"Not Executed")</x:f>
        <x:v>0</x:v>
      </x:c>
      <x:c r="H11" s="82" t="n">
        <x:f>IF(B11=0,0,C11/B11)</x:f>
        <x:v>1</x:v>
      </x:c>
      <x:c r="I11" s="82" t="n">
        <x:f>IF(C11=0,0,D11/C11)</x:f>
        <x:v>1</x:v>
      </x:c>
      <x:c r="J11" s="49" t="n">
        <x:f>COUNTIF('Defect Mapping'!$D$5:$D$20,A11)</x:f>
        <x:v>0</x:v>
      </x:c>
      <x:c r="K11" s="50" t="str">
        <x:f>IF(E11&gt;0,"Failed case(s) require reproduction and triage","Historical baseline passed")</x:f>
        <x:v>Historical baseline passed</x:v>
      </x:c>
    </x:row>
    <x:row r="12">
      <x:c r="A12" s="48" t="str">
        <x:v>Recruitment</x:v>
      </x:c>
      <x:c r="B12" s="49" t="n">
        <x:f>COUNTIF('Test Execution'!$C$5:$C$100,A12)</x:f>
        <x:v>8</x:v>
      </x:c>
      <x:c r="C12" s="49" t="n">
        <x:f>SUM(D12:F12)</x:f>
        <x:v>8</x:v>
      </x:c>
      <x:c r="D12" s="49" t="n">
        <x:f>COUNTIFS('Test Execution'!$C$5:$C$100,A12,'Test Execution'!$N$5:$N$100,"Pass")</x:f>
        <x:v>7</x:v>
      </x:c>
      <x:c r="E12" s="49" t="n">
        <x:f>COUNTIFS('Test Execution'!$C$5:$C$100,A12,'Test Execution'!$N$5:$N$100,"Fail")</x:f>
        <x:v>1</x:v>
      </x:c>
      <x:c r="F12" s="49" t="n">
        <x:f>COUNTIFS('Test Execution'!$C$5:$C$100,A12,'Test Execution'!$N$5:$N$100,"Blocked")</x:f>
        <x:v>0</x:v>
      </x:c>
      <x:c r="G12" s="49" t="n">
        <x:f>COUNTIFS('Test Execution'!$C$5:$C$100,A12,'Test Execution'!$N$5:$N$100,"Not Executed")</x:f>
        <x:v>0</x:v>
      </x:c>
      <x:c r="H12" s="82" t="n">
        <x:f>IF(B12=0,0,C12/B12)</x:f>
        <x:v>1</x:v>
      </x:c>
      <x:c r="I12" s="82" t="n">
        <x:f>IF(C12=0,0,D12/C12)</x:f>
        <x:v>0.875</x:v>
      </x:c>
      <x:c r="J12" s="49" t="n">
        <x:f>COUNTIF('Defect Mapping'!$D$5:$D$20,A12)</x:f>
        <x:v>1</x:v>
      </x:c>
      <x:c r="K12" s="50" t="str">
        <x:f>IF(E12&gt;0,"Failed case(s) require reproduction and triage","Historical baseline passed")</x:f>
        <x:v>Failed case(s) require reproduction and triage</x:v>
      </x:c>
    </x:row>
    <x:row r="13">
      <x:c r="A13" s="48" t="str">
        <x:v>My Info</x:v>
      </x:c>
      <x:c r="B13" s="49" t="n">
        <x:f>COUNTIF('Test Execution'!$C$5:$C$100,A13)</x:f>
        <x:v>6</x:v>
      </x:c>
      <x:c r="C13" s="49" t="n">
        <x:f>SUM(D13:F13)</x:f>
        <x:v>6</x:v>
      </x:c>
      <x:c r="D13" s="49" t="n">
        <x:f>COUNTIFS('Test Execution'!$C$5:$C$100,A13,'Test Execution'!$N$5:$N$100,"Pass")</x:f>
        <x:v>5</x:v>
      </x:c>
      <x:c r="E13" s="49" t="n">
        <x:f>COUNTIFS('Test Execution'!$C$5:$C$100,A13,'Test Execution'!$N$5:$N$100,"Fail")</x:f>
        <x:v>1</x:v>
      </x:c>
      <x:c r="F13" s="49" t="n">
        <x:f>COUNTIFS('Test Execution'!$C$5:$C$100,A13,'Test Execution'!$N$5:$N$100,"Blocked")</x:f>
        <x:v>0</x:v>
      </x:c>
      <x:c r="G13" s="49" t="n">
        <x:f>COUNTIFS('Test Execution'!$C$5:$C$100,A13,'Test Execution'!$N$5:$N$100,"Not Executed")</x:f>
        <x:v>0</x:v>
      </x:c>
      <x:c r="H13" s="82" t="n">
        <x:f>IF(B13=0,0,C13/B13)</x:f>
        <x:v>1</x:v>
      </x:c>
      <x:c r="I13" s="82" t="n">
        <x:f>IF(C13=0,0,D13/C13)</x:f>
        <x:v>0.8333333333333334</x:v>
      </x:c>
      <x:c r="J13" s="49" t="n">
        <x:f>COUNTIF('Defect Mapping'!$D$5:$D$20,A13)</x:f>
        <x:v>1</x:v>
      </x:c>
      <x:c r="K13" s="50" t="str">
        <x:f>IF(E13&gt;0,"Failed case(s) require reproduction and triage","Historical baseline passed")</x:f>
        <x:v>Failed case(s) require reproduction and triage</x:v>
      </x:c>
    </x:row>
    <x:row r="14">
      <x:c r="A14" s="48" t="str">
        <x:v>Performance</x:v>
      </x:c>
      <x:c r="B14" s="49" t="n">
        <x:f>COUNTIF('Test Execution'!$C$5:$C$100,A14)</x:f>
        <x:v>5</x:v>
      </x:c>
      <x:c r="C14" s="49" t="n">
        <x:f>SUM(D14:F14)</x:f>
        <x:v>5</x:v>
      </x:c>
      <x:c r="D14" s="49" t="n">
        <x:f>COUNTIFS('Test Execution'!$C$5:$C$100,A14,'Test Execution'!$N$5:$N$100,"Pass")</x:f>
        <x:v>5</x:v>
      </x:c>
      <x:c r="E14" s="49" t="n">
        <x:f>COUNTIFS('Test Execution'!$C$5:$C$100,A14,'Test Execution'!$N$5:$N$100,"Fail")</x:f>
        <x:v>0</x:v>
      </x:c>
      <x:c r="F14" s="49" t="n">
        <x:f>COUNTIFS('Test Execution'!$C$5:$C$100,A14,'Test Execution'!$N$5:$N$100,"Blocked")</x:f>
        <x:v>0</x:v>
      </x:c>
      <x:c r="G14" s="49" t="n">
        <x:f>COUNTIFS('Test Execution'!$C$5:$C$100,A14,'Test Execution'!$N$5:$N$100,"Not Executed")</x:f>
        <x:v>0</x:v>
      </x:c>
      <x:c r="H14" s="82" t="n">
        <x:f>IF(B14=0,0,C14/B14)</x:f>
        <x:v>1</x:v>
      </x:c>
      <x:c r="I14" s="82" t="n">
        <x:f>IF(C14=0,0,D14/C14)</x:f>
        <x:v>1</x:v>
      </x:c>
      <x:c r="J14" s="49" t="n">
        <x:f>COUNTIF('Defect Mapping'!$D$5:$D$20,A14)</x:f>
        <x:v>0</x:v>
      </x:c>
      <x:c r="K14" s="50" t="str">
        <x:f>IF(E14&gt;0,"Failed case(s) require reproduction and triage","Historical baseline passed")</x:f>
        <x:v>Historical baseline passed</x:v>
      </x:c>
    </x:row>
    <x:row r="15">
      <x:c r="A15" s="48" t="str">
        <x:v>Directory</x:v>
      </x:c>
      <x:c r="B15" s="49" t="n">
        <x:f>COUNTIF('Test Execution'!$C$5:$C$100,A15)</x:f>
        <x:v>4</x:v>
      </x:c>
      <x:c r="C15" s="49" t="n">
        <x:f>SUM(D15:F15)</x:f>
        <x:v>4</x:v>
      </x:c>
      <x:c r="D15" s="49" t="n">
        <x:f>COUNTIFS('Test Execution'!$C$5:$C$100,A15,'Test Execution'!$N$5:$N$100,"Pass")</x:f>
        <x:v>4</x:v>
      </x:c>
      <x:c r="E15" s="49" t="n">
        <x:f>COUNTIFS('Test Execution'!$C$5:$C$100,A15,'Test Execution'!$N$5:$N$100,"Fail")</x:f>
        <x:v>0</x:v>
      </x:c>
      <x:c r="F15" s="49" t="n">
        <x:f>COUNTIFS('Test Execution'!$C$5:$C$100,A15,'Test Execution'!$N$5:$N$100,"Blocked")</x:f>
        <x:v>0</x:v>
      </x:c>
      <x:c r="G15" s="49" t="n">
        <x:f>COUNTIFS('Test Execution'!$C$5:$C$100,A15,'Test Execution'!$N$5:$N$100,"Not Executed")</x:f>
        <x:v>0</x:v>
      </x:c>
      <x:c r="H15" s="82" t="n">
        <x:f>IF(B15=0,0,C15/B15)</x:f>
        <x:v>1</x:v>
      </x:c>
      <x:c r="I15" s="82" t="n">
        <x:f>IF(C15=0,0,D15/C15)</x:f>
        <x:v>1</x:v>
      </x:c>
      <x:c r="J15" s="49" t="n">
        <x:f>COUNTIF('Defect Mapping'!$D$5:$D$20,A15)</x:f>
        <x:v>0</x:v>
      </x:c>
      <x:c r="K15" s="50" t="str">
        <x:f>IF(E15&gt;0,"Failed case(s) require reproduction and triage","Historical baseline passed")</x:f>
        <x:v>Historical baseline passed</x:v>
      </x:c>
    </x:row>
    <x:row r="16">
      <x:c r="A16" s="48" t="str">
        <x:v>Buzz</x:v>
      </x:c>
      <x:c r="B16" s="49" t="n">
        <x:f>COUNTIF('Test Execution'!$C$5:$C$100,A16)</x:f>
        <x:v>3</x:v>
      </x:c>
      <x:c r="C16" s="49" t="n">
        <x:f>SUM(D16:F16)</x:f>
        <x:v>3</x:v>
      </x:c>
      <x:c r="D16" s="49" t="n">
        <x:f>COUNTIFS('Test Execution'!$C$5:$C$100,A16,'Test Execution'!$N$5:$N$100,"Pass")</x:f>
        <x:v>3</x:v>
      </x:c>
      <x:c r="E16" s="49" t="n">
        <x:f>COUNTIFS('Test Execution'!$C$5:$C$100,A16,'Test Execution'!$N$5:$N$100,"Fail")</x:f>
        <x:v>0</x:v>
      </x:c>
      <x:c r="F16" s="49" t="n">
        <x:f>COUNTIFS('Test Execution'!$C$5:$C$100,A16,'Test Execution'!$N$5:$N$100,"Blocked")</x:f>
        <x:v>0</x:v>
      </x:c>
      <x:c r="G16" s="49" t="n">
        <x:f>COUNTIFS('Test Execution'!$C$5:$C$100,A16,'Test Execution'!$N$5:$N$100,"Not Executed")</x:f>
        <x:v>0</x:v>
      </x:c>
      <x:c r="H16" s="82" t="n">
        <x:f>IF(B16=0,0,C16/B16)</x:f>
        <x:v>1</x:v>
      </x:c>
      <x:c r="I16" s="82" t="n">
        <x:f>IF(C16=0,0,D16/C16)</x:f>
        <x:v>1</x:v>
      </x:c>
      <x:c r="J16" s="49" t="n">
        <x:f>COUNTIF('Defect Mapping'!$D$5:$D$20,A16)</x:f>
        <x:v>0</x:v>
      </x:c>
      <x:c r="K16" s="50" t="str">
        <x:f>IF(E16&gt;0,"Failed case(s) require reproduction and triage","Historical baseline passed")</x:f>
        <x:v>Historical baseline passed</x:v>
      </x:c>
    </x:row>
    <x:row r="17">
      <x:c r="A17" s="51" t="str">
        <x:v>Session</x:v>
      </x:c>
      <x:c r="B17" s="52" t="n">
        <x:f>COUNTIF('Test Execution'!$C$5:$C$100,A17)</x:f>
        <x:v>4</x:v>
      </x:c>
      <x:c r="C17" s="52" t="n">
        <x:f>SUM(D17:F17)</x:f>
        <x:v>4</x:v>
      </x:c>
      <x:c r="D17" s="52" t="n">
        <x:f>COUNTIFS('Test Execution'!$C$5:$C$100,A17,'Test Execution'!$N$5:$N$100,"Pass")</x:f>
        <x:v>4</x:v>
      </x:c>
      <x:c r="E17" s="52" t="n">
        <x:f>COUNTIFS('Test Execution'!$C$5:$C$100,A17,'Test Execution'!$N$5:$N$100,"Fail")</x:f>
        <x:v>0</x:v>
      </x:c>
      <x:c r="F17" s="52" t="n">
        <x:f>COUNTIFS('Test Execution'!$C$5:$C$100,A17,'Test Execution'!$N$5:$N$100,"Blocked")</x:f>
        <x:v>0</x:v>
      </x:c>
      <x:c r="G17" s="52" t="n">
        <x:f>COUNTIFS('Test Execution'!$C$5:$C$100,A17,'Test Execution'!$N$5:$N$100,"Not Executed")</x:f>
        <x:v>0</x:v>
      </x:c>
      <x:c r="H17" s="83" t="n">
        <x:f>IF(B17=0,0,C17/B17)</x:f>
        <x:v>1</x:v>
      </x:c>
      <x:c r="I17" s="83" t="n">
        <x:f>IF(C17=0,0,D17/C17)</x:f>
        <x:v>1</x:v>
      </x:c>
      <x:c r="J17" s="52" t="n">
        <x:f>COUNTIF('Defect Mapping'!$D$5:$D$20,A17)</x:f>
        <x:v>0</x:v>
      </x:c>
      <x:c r="K17" s="53" t="str">
        <x:f>IF(E17&gt;0,"Failed case(s) require reproduction and triage","Historical baseline passed")</x:f>
        <x:v>Historical baseline passed</x:v>
      </x:c>
    </x:row>
  </x:sheetData>
  <x:mergeCells>
    <x:mergeCell ref="A1:K1"/>
    <x:mergeCell ref="A2:K2"/>
  </x:mergeCells>
  <x:conditionalFormatting sqref="E5:E17">
    <x:cfRule type="expression" dxfId="4" priority="1">
      <x:formula>E5&gt;0</x:formula>
    </x:cfRule>
  </x:conditionalFormatting>
  <x:conditionalFormatting sqref="I5:I17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38fc3c644f446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18" hidden="0" customWidth="1"/>
    <x:col min="5" max="5" width="12" hidden="0" customWidth="1"/>
    <x:col min="6" max="6" width="12" hidden="0" customWidth="1"/>
    <x:col min="7" max="7" width="24" hidden="0" customWidth="1"/>
    <x:col min="8" max="8" width="48" hidden="0" customWidth="1"/>
  </x:cols>
  <x:sheetData>
    <x:row r="1">
      <x:c r="A1" s="5" t="str">
        <x:v>OrangeHRM — Failed Case / Defect Mapping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Cross-reference to Deliverable 9 Defect_Log.xlsx. All four items remain Open - Needs Reproduction.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Bug ID</x:v>
      </x:c>
      <x:c r="B4" s="22" t="str">
        <x:v>Test Case ID</x:v>
      </x:c>
      <x:c r="C4" s="22" t="str">
        <x:v>Requirement ID</x:v>
      </x:c>
      <x:c r="D4" s="22" t="str">
        <x:v>Module</x:v>
      </x:c>
      <x:c r="E4" s="22" t="str">
        <x:v>Severity</x:v>
      </x:c>
      <x:c r="F4" s="22" t="str">
        <x:v>Priority</x:v>
      </x:c>
      <x:c r="G4" s="22" t="str">
        <x:v>Status</x:v>
      </x:c>
      <x:c r="H4" s="22" t="str">
        <x:v>Disposition</x:v>
      </x:c>
    </x:row>
    <x:row r="5">
      <x:c r="A5" s="45" t="str">
        <x:v>BUG-001</x:v>
      </x:c>
      <x:c r="B5" s="46" t="str">
        <x:v>TC-LGN-012</x:v>
      </x:c>
      <x:c r="C5" s="46" t="str">
        <x:v>RQ-LGN-009</x:v>
      </x:c>
      <x:c r="D5" s="46" t="str">
        <x:v>Login</x:v>
      </x:c>
      <x:c r="E5" s="46" t="str">
        <x:v>Medium</x:v>
      </x:c>
      <x:c r="F5" s="46" t="str">
        <x:v>Medium</x:v>
      </x:c>
      <x:c r="G5" s="46" t="str">
        <x:v>Open - Needs Reproduction</x:v>
      </x:c>
      <x:c r="H5" s="47" t="str">
        <x:v>Reproduce credential casing behavior and capture exact result.</x:v>
      </x:c>
    </x:row>
    <x:row r="6">
      <x:c r="A6" s="48" t="str">
        <x:v>BUG-002</x:v>
      </x:c>
      <x:c r="B6" s="49" t="str">
        <x:v>TC-FGP-003</x:v>
      </x:c>
      <x:c r="C6" s="49" t="str">
        <x:v>RQ-FGP-003</x:v>
      </x:c>
      <x:c r="D6" s="49" t="str">
        <x:v>Forgot Password</x:v>
      </x:c>
      <x:c r="E6" s="49" t="str">
        <x:v>High</x:v>
      </x:c>
      <x:c r="F6" s="49" t="str">
        <x:v>Medium</x:v>
      </x:c>
      <x:c r="G6" s="49" t="str">
        <x:v>Open - Needs Reproduction</x:v>
      </x:c>
      <x:c r="H6" s="50" t="str">
        <x:v>Capture unknown-user reset response and assess account-privacy exposure.</x:v>
      </x:c>
    </x:row>
    <x:row r="7">
      <x:c r="A7" s="48" t="str">
        <x:v>BUG-003</x:v>
      </x:c>
      <x:c r="B7" s="49" t="str">
        <x:v>TC-REC-005</x:v>
      </x:c>
      <x:c r="C7" s="49" t="str">
        <x:v>RQ-REC-005</x:v>
      </x:c>
      <x:c r="D7" s="49" t="str">
        <x:v>Recruitment</x:v>
      </x:c>
      <x:c r="E7" s="49" t="str">
        <x:v>Medium</x:v>
      </x:c>
      <x:c r="F7" s="49" t="str">
        <x:v>Medium</x:v>
      </x:c>
      <x:c r="G7" s="49" t="str">
        <x:v>Open - Needs Reproduction</x:v>
      </x:c>
      <x:c r="H7" s="50" t="str">
        <x:v>Repeat malformed-email case and capture validation/save behavior.</x:v>
      </x:c>
    </x:row>
    <x:row r="8">
      <x:c r="A8" s="51" t="str">
        <x:v>BUG-004</x:v>
      </x:c>
      <x:c r="B8" s="52" t="str">
        <x:v>TC-MYI-004</x:v>
      </x:c>
      <x:c r="C8" s="52" t="str">
        <x:v>RQ-MYI-004</x:v>
      </x:c>
      <x:c r="D8" s="52" t="str">
        <x:v>My Info</x:v>
      </x:c>
      <x:c r="E8" s="52" t="str">
        <x:v>High</x:v>
      </x:c>
      <x:c r="F8" s="52" t="str">
        <x:v>High</x:v>
      </x:c>
      <x:c r="G8" s="52" t="str">
        <x:v>Open - Needs Reproduction</x:v>
      </x:c>
      <x:c r="H8" s="53" t="str">
        <x:v>Verify ESS Job/Salary restrictions and capture editable controls/actions.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77a6e7db2f64409"/>
  </x:tableParts>
</x:worksheet>
</file>