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7f755e7f8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 Summary" sheetId="1" r:id="Rf688d62cda7d4f31"/>
    <x:sheet xmlns:r="http://schemas.openxmlformats.org/officeDocument/2006/relationships" name="Defect Log" sheetId="2" r:id="R136c729738cd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39180c771437e" /><Relationship Type="http://schemas.openxmlformats.org/officeDocument/2006/relationships/theme" Target="/xl/theme/theme1.xml" Id="R416f544039c94546" /><Relationship Type="http://schemas.openxmlformats.org/officeDocument/2006/relationships/sharedStrings" Target="/xl/sharedStrings.xml" Id="R7c71ea777f6f4505" /><Relationship Type="http://schemas.openxmlformats.org/officeDocument/2006/relationships/worksheet" Target="/xl/worksheets/sheet1.xml" Id="Rf688d62cda7d4f31" /><Relationship Type="http://schemas.openxmlformats.org/officeDocument/2006/relationships/worksheet" Target="/xl/worksheets/sheet2.xml" Id="R136c729738cd4e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1ad8fd0c534a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Defects by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'Defect Summary'!$D$5:$D$8</c:f>
              <c:strCache>
                <c:ptCount val="0"/>
              </c:strCache>
            </c:strRef>
          </c:cat>
          <c:val>
            <c:numRef>
              <c:f>'Defect Summary'!$E$5:$E$8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12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1ad8fd0c534a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angeHRMDefectLogTable" displayName="OrangeHRMDefectLogTable" ref="A4:W8" headerRowCount="1" totalsRowCount="0" totalsRowShown="0">
  <x:tableColumns count="23">
    <x:tableColumn id="1" name="Bug ID"/>
    <x:tableColumn id="2" name="Test Case ID"/>
    <x:tableColumn id="3" name="Requirement ID"/>
    <x:tableColumn id="4" name="Summary"/>
    <x:tableColumn id="5" name="Module"/>
    <x:tableColumn id="6" name="Defect Type"/>
    <x:tableColumn id="7" name="Environment"/>
    <x:tableColumn id="8" name="Browser"/>
    <x:tableColumn id="9" name="Build"/>
    <x:tableColumn id="10" name="Severity"/>
    <x:tableColumn id="11" name="Priority"/>
    <x:tableColumn id="12" name="Preconditions"/>
    <x:tableColumn id="13" name="Steps to Reproduce"/>
    <x:tableColumn id="14" name="Actual Result"/>
    <x:tableColumn id="15" name="Expected Result"/>
    <x:tableColumn id="16" name="Status"/>
    <x:tableColumn id="17" name="Assigned To"/>
    <x:tableColumn id="18" name="Reported By"/>
    <x:tableColumn id="19" name="Date"/>
    <x:tableColumn id="20" name="Reproducibility"/>
    <x:tableColumn id="21" name="Evidence Status"/>
    <x:tableColumn id="22" name="Retest Status"/>
    <x:tableColumn id="23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189c19f8bb49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36a9a345614fb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17" hidden="0" customWidth="1"/>
    <x:col min="4" max="4" width="18" hidden="0" customWidth="1"/>
    <x:col min="5" max="5" width="13" hidden="0" customWidth="1"/>
    <x:col min="6" max="6" width="13" hidden="0" customWidth="1"/>
    <x:col min="7" max="7" width="24" hidden="0" customWidth="1"/>
    <x:col min="8" max="8" width="48" hidden="0" customWidth="1"/>
    <x:col min="9" max="9" width="3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5" t="str">
        <x:v>OrangeHRM — Defect Summary &amp; Triage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3" t="str">
        <x:v>Defect control for the four failed baseline test cases. Formal standalone reports are produced in Deliverable 11 after reproduction/evidence capture.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Defect KPI</x:v>
      </x:c>
      <x:c r="B4" s="22" t="str">
        <x:v>Value</x:v>
      </x:c>
      <x:c r="D4" s="22" t="str">
        <x:v>Severity</x:v>
      </x:c>
      <x:c r="E4" s="22" t="str">
        <x:v>Count</x:v>
      </x:c>
      <x:c r="G4" s="22" t="str">
        <x:v>Priority</x:v>
      </x:c>
      <x:c r="H4" s="22" t="str">
        <x:v>Count</x:v>
      </x:c>
    </x:row>
    <x:row r="5">
      <x:c r="A5" s="28" t="str">
        <x:v>Total Defects</x:v>
      </x:c>
      <x:c r="B5" s="30" t="n">
        <x:f>COUNTA('Defect Log'!A5:A100)</x:f>
        <x:v>4</x:v>
      </x:c>
      <x:c r="D5" s="28" t="str">
        <x:v>Critical</x:v>
      </x:c>
      <x:c r="E5" s="30" t="n">
        <x:f>COUNTIF('Defect Log'!J5:J100,D5)</x:f>
        <x:v>0</x:v>
      </x:c>
      <x:c r="G5" s="28" t="str">
        <x:v>High</x:v>
      </x:c>
      <x:c r="H5" s="30" t="n">
        <x:f>COUNTIF('Defect Log'!K5:K100,G5)</x:f>
        <x:v>1</x:v>
      </x:c>
    </x:row>
    <x:row r="6">
      <x:c r="A6" s="31" t="str">
        <x:v>Open - Needs Reproduction</x:v>
      </x:c>
      <x:c r="B6" s="33" t="n">
        <x:f>COUNTIF('Defect Log'!P5:P100,"Open - Needs Reproduction")</x:f>
        <x:v>4</x:v>
      </x:c>
      <x:c r="D6" s="31" t="str">
        <x:v>High</x:v>
      </x:c>
      <x:c r="E6" s="33" t="n">
        <x:f>COUNTIF('Defect Log'!J5:J100,D6)</x:f>
        <x:v>2</x:v>
      </x:c>
      <x:c r="G6" s="31" t="str">
        <x:v>Medium</x:v>
      </x:c>
      <x:c r="H6" s="33" t="n">
        <x:f>COUNTIF('Defect Log'!K5:K100,G6)</x:f>
        <x:v>3</x:v>
      </x:c>
    </x:row>
    <x:row r="7">
      <x:c r="A7" s="31" t="str">
        <x:v>High Severity</x:v>
      </x:c>
      <x:c r="B7" s="33" t="n">
        <x:f>COUNTIF('Defect Log'!J5:J100,"High")</x:f>
        <x:v>2</x:v>
      </x:c>
      <x:c r="D7" s="31" t="str">
        <x:v>Medium</x:v>
      </x:c>
      <x:c r="E7" s="33" t="n">
        <x:f>COUNTIF('Defect Log'!J5:J100,D7)</x:f>
        <x:v>2</x:v>
      </x:c>
      <x:c r="G7" s="34" t="str">
        <x:v>Low</x:v>
      </x:c>
      <x:c r="H7" s="36" t="n">
        <x:f>COUNTIF('Defect Log'!K5:K100,G7)</x:f>
        <x:v>0</x:v>
      </x:c>
    </x:row>
    <x:row r="8">
      <x:c r="A8" s="31" t="str">
        <x:v>Medium Severity</x:v>
      </x:c>
      <x:c r="B8" s="33" t="n">
        <x:f>COUNTIF('Defect Log'!J5:J100,"Medium")</x:f>
        <x:v>2</x:v>
      </x:c>
      <x:c r="D8" s="34" t="str">
        <x:v>Low</x:v>
      </x:c>
      <x:c r="E8" s="36" t="n">
        <x:f>COUNTIF('Defect Log'!J5:J100,D8)</x:f>
        <x:v>0</x:v>
      </x:c>
    </x:row>
    <x:row r="9">
      <x:c r="A9" s="31" t="str">
        <x:v>High Priority</x:v>
      </x:c>
      <x:c r="B9" s="33" t="n">
        <x:f>COUNTIF('Defect Log'!K5:K100,"High")</x:f>
        <x:v>1</x:v>
      </x:c>
    </x:row>
    <x:row r="10">
      <x:c r="A10" s="31" t="str">
        <x:v>Medium Priority</x:v>
      </x:c>
      <x:c r="B10" s="33" t="n">
        <x:f>COUNTIF('Defect Log'!K5:K100,"Medium")</x:f>
        <x:v>3</x:v>
      </x:c>
    </x:row>
    <x:row r="11">
      <x:c r="A11" s="34" t="str">
        <x:v>Retest Pending</x:v>
      </x:c>
      <x:c r="B11" s="36" t="n">
        <x:f>COUNTIF('Defect Log'!V5:V100,"Pending")</x:f>
        <x:v>4</x:v>
      </x:c>
    </x:row>
    <x:row r="14">
      <x:c r="A14" s="88" t="str">
        <x:v>Baseline Failure-to-Defect Mapping</x:v>
      </x:c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</x:row>
    <x:row r="15">
      <x:c r="A15" s="22" t="str">
        <x:v>Bug ID</x:v>
      </x:c>
      <x:c r="B15" s="22" t="str">
        <x:v>Test Case ID</x:v>
      </x:c>
      <x:c r="C15" s="22" t="str">
        <x:v>Requirement ID</x:v>
      </x:c>
      <x:c r="D15" s="22" t="str">
        <x:v>Module</x:v>
      </x:c>
      <x:c r="E15" s="22" t="str">
        <x:v>Severity</x:v>
      </x:c>
      <x:c r="F15" s="22" t="str">
        <x:v>Priority</x:v>
      </x:c>
      <x:c r="G15" s="22" t="str">
        <x:v>Status</x:v>
      </x:c>
      <x:c r="H15" s="22" t="str">
        <x:v>Next QA Action</x:v>
      </x:c>
    </x:row>
    <x:row r="16">
      <x:c r="A16" s="63" t="str">
        <x:v>BUG-001</x:v>
      </x:c>
      <x:c r="B16" s="64" t="str">
        <x:v>TC-LGN-012</x:v>
      </x:c>
      <x:c r="C16" s="64" t="str">
        <x:v>RQ-LGN-009</x:v>
      </x:c>
      <x:c r="D16" s="64" t="str">
        <x:v>Login</x:v>
      </x:c>
      <x:c r="E16" s="64" t="str">
        <x:v>Medium</x:v>
      </x:c>
      <x:c r="F16" s="64" t="str">
        <x:v>Medium</x:v>
      </x:c>
      <x:c r="G16" s="64" t="str">
        <x:v>Open - Needs Reproduction</x:v>
      </x:c>
      <x:c r="H16" s="65" t="str">
        <x:v>Reproduce credential casing behavior; capture exact authentication result.</x:v>
      </x:c>
    </x:row>
    <x:row r="17">
      <x:c r="A17" s="66" t="str">
        <x:v>BUG-002</x:v>
      </x:c>
      <x:c r="B17" s="67" t="str">
        <x:v>TC-FGP-003</x:v>
      </x:c>
      <x:c r="C17" s="67" t="str">
        <x:v>RQ-FGP-003</x:v>
      </x:c>
      <x:c r="D17" s="67" t="str">
        <x:v>Forgot Password</x:v>
      </x:c>
      <x:c r="E17" s="67" t="str">
        <x:v>High</x:v>
      </x:c>
      <x:c r="F17" s="67" t="str">
        <x:v>Medium</x:v>
      </x:c>
      <x:c r="G17" s="67" t="str">
        <x:v>Open - Needs Reproduction</x:v>
      </x:c>
      <x:c r="H17" s="68" t="str">
        <x:v>Capture the exact unknown-user reset response and assess account-enumeration exposure.</x:v>
      </x:c>
    </x:row>
    <x:row r="18">
      <x:c r="A18" s="66" t="str">
        <x:v>BUG-003</x:v>
      </x:c>
      <x:c r="B18" s="67" t="str">
        <x:v>TC-REC-005</x:v>
      </x:c>
      <x:c r="C18" s="67" t="str">
        <x:v>RQ-REC-005</x:v>
      </x:c>
      <x:c r="D18" s="67" t="str">
        <x:v>Recruitment</x:v>
      </x:c>
      <x:c r="E18" s="67" t="str">
        <x:v>Medium</x:v>
      </x:c>
      <x:c r="F18" s="67" t="str">
        <x:v>Medium</x:v>
      </x:c>
      <x:c r="G18" s="67" t="str">
        <x:v>Open - Needs Reproduction</x:v>
      </x:c>
      <x:c r="H18" s="68" t="str">
        <x:v>Repeat malformed-email case and capture validation text/save behavior.</x:v>
      </x:c>
    </x:row>
    <x:row r="19">
      <x:c r="A19" s="69" t="str">
        <x:v>BUG-004</x:v>
      </x:c>
      <x:c r="B19" s="70" t="str">
        <x:v>TC-MYI-004</x:v>
      </x:c>
      <x:c r="C19" s="70" t="str">
        <x:v>RQ-MYI-004</x:v>
      </x:c>
      <x:c r="D19" s="70" t="str">
        <x:v>My Info</x:v>
      </x:c>
      <x:c r="E19" s="70" t="str">
        <x:v>High</x:v>
      </x:c>
      <x:c r="F19" s="70" t="str">
        <x:v>High</x:v>
      </x:c>
      <x:c r="G19" s="70" t="str">
        <x:v>Open - Needs Reproduction</x:v>
      </x:c>
      <x:c r="H19" s="71" t="str">
        <x:v>Verify ESS Job/Salary restrictions and capture any editable controls/actions.</x:v>
      </x:c>
    </x:row>
    <x:row r="22">
      <x:c r="A22" s="88" t="str">
        <x:v>Defect Control Notes</x:v>
      </x:c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</x:row>
    <x:row r="23">
      <x:c r="A23" s="28" t="str">
        <x:v>1</x:v>
      </x:c>
      <x:c r="B23" s="93" t="str">
        <x:v>The source workbook recorded four failed test cases but did not retain detailed Actual Result text, screenshots, browser/version, or build identifier.</x:v>
      </x:c>
    </x:row>
    <x:row r="24">
      <x:c r="A24" s="31" t="str">
        <x:v>2</x:v>
      </x:c>
      <x:c r="B24" s="96" t="str">
        <x:v>For integrity, the defects are logged as Open - Needs Reproduction instead of pretending that missing historical evidence exists.</x:v>
      </x:c>
    </x:row>
    <x:row r="25">
      <x:c r="A25" s="31" t="str">
        <x:v>3</x:v>
      </x:c>
      <x:c r="B25" s="96" t="str">
        <x:v>ENV-DEMO-01 is the controlled OrangeHRM Demo environment identifier established in Test_Environment.md.</x:v>
      </x:c>
    </x:row>
    <x:row r="26">
      <x:c r="A26" s="31" t="str">
        <x:v>4</x:v>
      </x:c>
      <x:c r="B26" s="96" t="str">
        <x:v>BUG-001 to BUG-004 are the same identifiers reserved in the final Requirement Traceability Matrix.</x:v>
      </x:c>
    </x:row>
    <x:row r="27">
      <x:c r="A27" s="34" t="str">
        <x:v>5</x:v>
      </x:c>
      <x:c r="B27" s="99" t="str">
        <x:v>Standalone BUG-001.md to BUG-004.md reports will be generated in Deliverable 11 after this defect register.</x:v>
      </x:c>
    </x:row>
  </x:sheetData>
  <x:mergeCells>
    <x:mergeCell ref="A1:L1"/>
    <x:mergeCell ref="A2:L2"/>
    <x:mergeCell ref="A14:L14"/>
    <x:mergeCell ref="A22:L22"/>
  </x:mergeCells>
  <x:conditionalFormatting sqref="E16:E19">
    <x:cfRule type="expression" dxfId="10" priority="1">
      <x:formula>E16="High"</x:formula>
    </x:cfRule>
    <x:cfRule type="expression" dxfId="11" priority="2">
      <x:formula>E16="Medium"</x:formula>
    </x:cfRule>
  </x:conditionalFormatting>
  <x:conditionalFormatting sqref="F16:F19">
    <x:cfRule type="expression" dxfId="12" priority="3">
      <x:formula>F16="High"</x:formula>
    </x:cfRule>
    <x:cfRule type="expression" dxfId="13" priority="4">
      <x:formula>F16="Medium"</x:formula>
    </x:cfRule>
  </x:conditionalFormatting>
  <x:conditionalFormatting sqref="G16:G19">
    <x:cfRule type="expression" dxfId="14" priority="5">
      <x:formula>G16="Open - Needs Reproduction"</x:formula>
    </x:cfRule>
  </x:conditionalFormatting>
  <x:pageMargins left="0.7" right="0.7" top="0.75" bottom="0.75" header="0.3" footer="0.3"/>
  <x:drawing xmlns:r="http://schemas.openxmlformats.org/officeDocument/2006/relationships" r:id="R33189c19f8bb4948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46" hidden="0" customWidth="1"/>
    <x:col min="5" max="5" width="18" hidden="0" customWidth="1"/>
    <x:col min="6" max="6" width="24" hidden="0" customWidth="1"/>
    <x:col min="7" max="7" width="30" hidden="0" customWidth="1"/>
    <x:col min="8" max="8" width="27" hidden="0" customWidth="1"/>
    <x:col min="9" max="9" width="25" hidden="0" customWidth="1"/>
    <x:col min="10" max="10" width="11" hidden="0" customWidth="1"/>
    <x:col min="11" max="11" width="11" hidden="0" customWidth="1"/>
    <x:col min="12" max="12" width="42" hidden="0" customWidth="1"/>
    <x:col min="13" max="13" width="48" hidden="0" customWidth="1"/>
    <x:col min="14" max="14" width="50" hidden="0" customWidth="1"/>
    <x:col min="15" max="15" width="46" hidden="0" customWidth="1"/>
    <x:col min="16" max="16" width="24" hidden="0" customWidth="1"/>
    <x:col min="17" max="17" width="25" hidden="0" customWidth="1"/>
    <x:col min="18" max="18" width="16" hidden="0" customWidth="1"/>
    <x:col min="19" max="19" width="13" hidden="0" customWidth="1"/>
    <x:col min="20" max="20" width="20" hidden="0" customWidth="1"/>
    <x:col min="21" max="21" width="20" hidden="0" customWidth="1"/>
    <x:col min="22" max="22" width="15" hidden="0" customWidth="1"/>
    <x:col min="23" max="23" width="48" hidden="0" customWidth="1"/>
  </x:cols>
  <x:sheetData>
    <x:row r="1" ht="28" customHeight="1">
      <x:c r="A1" s="5" t="str">
        <x:v>OrangeHRM — Defect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34" customHeight="1">
      <x:c r="A2" s="13" t="str">
        <x:v>Controlled defect register derived from the four failed cases in the 96-case source baseline. Exact historical browser/build/screenshots were not retained; each item remains Open - Needs Reproduction until evidence is captured.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</x:row>
    <x:row r="4" ht="40" customHeight="1">
      <x:c r="A4" s="22" t="str">
        <x:v>Bug ID</x:v>
      </x:c>
      <x:c r="B4" s="22" t="str">
        <x:v>Test Case ID</x:v>
      </x:c>
      <x:c r="C4" s="22" t="str">
        <x:v>Requirement ID</x:v>
      </x:c>
      <x:c r="D4" s="22" t="str">
        <x:v>Summary</x:v>
      </x:c>
      <x:c r="E4" s="22" t="str">
        <x:v>Module</x:v>
      </x:c>
      <x:c r="F4" s="22" t="str">
        <x:v>Defect Type</x:v>
      </x:c>
      <x:c r="G4" s="22" t="str">
        <x:v>Environment</x:v>
      </x:c>
      <x:c r="H4" s="22" t="str">
        <x:v>Browser</x:v>
      </x:c>
      <x:c r="I4" s="22" t="str">
        <x:v>Build</x:v>
      </x:c>
      <x:c r="J4" s="22" t="str">
        <x:v>Severity</x:v>
      </x:c>
      <x:c r="K4" s="22" t="str">
        <x:v>Priority</x:v>
      </x:c>
      <x:c r="L4" s="22" t="str">
        <x:v>Preconditions</x:v>
      </x:c>
      <x:c r="M4" s="22" t="str">
        <x:v>Steps to Reproduce</x:v>
      </x:c>
      <x:c r="N4" s="22" t="str">
        <x:v>Actual Result</x:v>
      </x:c>
      <x:c r="O4" s="22" t="str">
        <x:v>Expected Result</x:v>
      </x:c>
      <x:c r="P4" s="22" t="str">
        <x:v>Status</x:v>
      </x:c>
      <x:c r="Q4" s="22" t="str">
        <x:v>Assigned To</x:v>
      </x:c>
      <x:c r="R4" s="22" t="str">
        <x:v>Reported By</x:v>
      </x:c>
      <x:c r="S4" s="22" t="str">
        <x:v>Date</x:v>
      </x:c>
      <x:c r="T4" s="22" t="str">
        <x:v>Reproducibility</x:v>
      </x:c>
      <x:c r="U4" s="22" t="str">
        <x:v>Evidence Status</x:v>
      </x:c>
      <x:c r="V4" s="22" t="str">
        <x:v>Retest Status</x:v>
      </x:c>
      <x:c r="W4" s="22" t="str">
        <x:v>Comments</x:v>
      </x:c>
    </x:row>
    <x:row r="5">
      <x:c r="A5" s="63" t="str">
        <x:v>BUG-001</x:v>
      </x:c>
      <x:c r="B5" s="64" t="str">
        <x:v>TC-LGN-012</x:v>
      </x:c>
      <x:c r="C5" s="64" t="str">
        <x:v>RQ-LGN-009</x:v>
      </x:c>
      <x:c r="D5" s="64" t="str">
        <x:v>Credential case-sensitivity behavior does not match the authentication requirement</x:v>
      </x:c>
      <x:c r="E5" s="64" t="str">
        <x:v>Login</x:v>
      </x:c>
      <x:c r="F5" s="64" t="str">
        <x:v>Authentication</x:v>
      </x:c>
      <x:c r="G5" s="64" t="str">
        <x:v>ENV-DEMO-01 — OrangeHRM Demo</x:v>
      </x:c>
      <x:c r="H5" s="64" t="str">
        <x:v>Not recorded in historical source</x:v>
      </x:c>
      <x:c r="I5" s="64" t="str">
        <x:v>Not Exposed / not recorded</x:v>
      </x:c>
      <x:c r="J5" s="64" t="str">
        <x:v>Medium</x:v>
      </x:c>
      <x:c r="K5" s="64" t="str">
        <x:v>Medium</x:v>
      </x:c>
      <x:c r="L5" s="64" t="str">
        <x:v>OrangeHRM Demo login page is reachable; a valid Admin account with known credential casing is available; user is logged out.</x:v>
      </x:c>
      <x:c r="M5" s="64" t="str">
        <x:v>1. Open the OrangeHRM login page.
2. Enter the valid credential values using different letter casing (for example ADMIN / ADMIN123).
3. Click Login.
4. Observe whether authentication is rejected or accepted.</x:v>
      </x:c>
      <x:c r="N5" s="64" t="str">
        <x:v>Historical execution was recorded as Fail: the differently-cased credential behavior did not satisfy the expected case-sensitivity rule. The exact UI response was not retained in the source evidence.</x:v>
      </x:c>
      <x:c r="O5" s="64" t="str">
        <x:v>Authentication should be rejected when credential casing does not match the valid credential casing defined by the test baseline.</x:v>
      </x:c>
      <x:c r="P5" s="64" t="str">
        <x:v>Open - Needs Reproduction</x:v>
      </x:c>
      <x:c r="Q5" s="64" t="str">
        <x:v>Unassigned — Engineering</x:v>
      </x:c>
      <x:c r="R5" s="64" t="str">
        <x:v>QA Engineer</x:v>
      </x:c>
      <x:c r="S5" s="81" t="n">
        <x:v>46275</x:v>
      </x:c>
      <x:c r="T5" s="64" t="str">
        <x:v>Not yet re-verified</x:v>
      </x:c>
      <x:c r="U5" s="64" t="str">
        <x:v>Historical Fail only</x:v>
      </x:c>
      <x:c r="V5" s="64" t="str">
        <x:v>Pending</x:v>
      </x:c>
      <x:c r="W5" s="65" t="str">
        <x:v>Source failure retained from TC-LGN-012. Reproduce on the controlled environment and capture exact browser/build/result before engineering handoff. Included in Sanity Test Suite. Standalone report: 05_Defect_Reports/BUG-001.md.</x:v>
      </x:c>
    </x:row>
    <x:row r="6">
      <x:c r="A6" s="66" t="str">
        <x:v>BUG-002</x:v>
      </x:c>
      <x:c r="B6" s="67" t="str">
        <x:v>TC-FGP-003</x:v>
      </x:c>
      <x:c r="C6" s="67" t="str">
        <x:v>RQ-FGP-003</x:v>
      </x:c>
      <x:c r="D6" s="67" t="str">
        <x:v>Password reset response for an unknown username does not meet the account-privacy requirement</x:v>
      </x:c>
      <x:c r="E6" s="67" t="str">
        <x:v>Forgot Password</x:v>
      </x:c>
      <x:c r="F6" s="67" t="str">
        <x:v>Security / Privacy</x:v>
      </x:c>
      <x:c r="G6" s="67" t="str">
        <x:v>ENV-DEMO-01 — OrangeHRM Demo</x:v>
      </x:c>
      <x:c r="H6" s="67" t="str">
        <x:v>Not recorded in historical source</x:v>
      </x:c>
      <x:c r="I6" s="67" t="str">
        <x:v>Not Exposed / not recorded</x:v>
      </x:c>
      <x:c r="J6" s="67" t="str">
        <x:v>High</x:v>
      </x:c>
      <x:c r="K6" s="67" t="str">
        <x:v>Medium</x:v>
      </x:c>
      <x:c r="L6" s="67" t="str">
        <x:v>Reset Password page is open; a deliberately unregistered username is available.</x:v>
      </x:c>
      <x:c r="M6" s="67" t="str">
        <x:v>1. Open Forgot Password / Reset Password.
2. Enter unregistered username invaliduser123.
3. Click Reset Password.
4. Observe the response shown to the user.</x:v>
      </x:c>
      <x:c r="N6" s="67" t="str">
        <x:v>Historical execution was recorded as Fail: the response for an unregistered username did not satisfy the expected account-privacy behavior. The exact message was not retained in the source evidence.</x:v>
      </x:c>
      <x:c r="O6" s="67" t="str">
        <x:v>The application should show an appropriate generic response without exposing whether the supplied username exists.</x:v>
      </x:c>
      <x:c r="P6" s="67" t="str">
        <x:v>Open - Needs Reproduction</x:v>
      </x:c>
      <x:c r="Q6" s="67" t="str">
        <x:v>Unassigned — Engineering</x:v>
      </x:c>
      <x:c r="R6" s="67" t="str">
        <x:v>QA Engineer</x:v>
      </x:c>
      <x:c r="S6" s="82" t="n">
        <x:v>46275</x:v>
      </x:c>
      <x:c r="T6" s="67" t="str">
        <x:v>Not yet re-verified</x:v>
      </x:c>
      <x:c r="U6" s="67" t="str">
        <x:v>Historical Fail only</x:v>
      </x:c>
      <x:c r="V6" s="67" t="str">
        <x:v>Pending</x:v>
      </x:c>
      <x:c r="W6" s="68" t="str">
        <x:v>Source failure retained from TC-FGP-003. Treat as privacy-sensitive during triage. Capture the exact response text during reproduction. Included in Sanity Test Suite. Standalone report: 05_Defect_Reports/BUG-002.md.</x:v>
      </x:c>
    </x:row>
    <x:row r="7">
      <x:c r="A7" s="66" t="str">
        <x:v>BUG-003</x:v>
      </x:c>
      <x:c r="B7" s="67" t="str">
        <x:v>TC-REC-005</x:v>
      </x:c>
      <x:c r="C7" s="67" t="str">
        <x:v>RQ-REC-005</x:v>
      </x:c>
      <x:c r="D7" s="67" t="str">
        <x:v>Recruitment candidate form fails the expected invalid-email format validation</x:v>
      </x:c>
      <x:c r="E7" s="67" t="str">
        <x:v>Recruitment</x:v>
      </x:c>
      <x:c r="F7" s="67" t="str">
        <x:v>Input Validation</x:v>
      </x:c>
      <x:c r="G7" s="67" t="str">
        <x:v>ENV-DEMO-01 — OrangeHRM Demo</x:v>
      </x:c>
      <x:c r="H7" s="67" t="str">
        <x:v>Not recorded in historical source</x:v>
      </x:c>
      <x:c r="I7" s="67" t="str">
        <x:v>Not Exposed / not recorded</x:v>
      </x:c>
      <x:c r="J7" s="67" t="str">
        <x:v>Medium</x:v>
      </x:c>
      <x:c r="K7" s="67" t="str">
        <x:v>Medium</x:v>
      </x:c>
      <x:c r="L7" s="67" t="str">
        <x:v>Authorized user is authenticated; Recruitment &gt; Candidates &gt; Add Candidate is open.</x:v>
      </x:c>
      <x:c r="M7" s="67" t="str">
        <x:v>1. Enter required candidate details.
2. Enter invalid email value john.smith (no domain).
3. Click Save.
4. Observe email validation and save behavior.</x:v>
      </x:c>
      <x:c r="N7" s="67" t="str">
        <x:v>Historical execution was recorded as Fail: the invalid-email scenario did not satisfy the expected validation behavior. The exact UI state/message was not retained in the source evidence.</x:v>
      </x:c>
      <x:c r="O7" s="67" t="str">
        <x:v>The form should reject the invalid email value and display the expected format-validation message.</x:v>
      </x:c>
      <x:c r="P7" s="67" t="str">
        <x:v>Open - Needs Reproduction</x:v>
      </x:c>
      <x:c r="Q7" s="67" t="str">
        <x:v>Unassigned — Engineering</x:v>
      </x:c>
      <x:c r="R7" s="67" t="str">
        <x:v>QA Engineer</x:v>
      </x:c>
      <x:c r="S7" s="82" t="n">
        <x:v>46275</x:v>
      </x:c>
      <x:c r="T7" s="67" t="str">
        <x:v>Not yet re-verified</x:v>
      </x:c>
      <x:c r="U7" s="67" t="str">
        <x:v>Historical Fail only</x:v>
      </x:c>
      <x:c r="V7" s="67" t="str">
        <x:v>Pending</x:v>
      </x:c>
      <x:c r="W7" s="68" t="str">
        <x:v>Source failure retained from TC-REC-005. Reproduce with the same invalid value and record whether Save is blocked and which validation text is displayed. Included in Sanity Test Suite. Standalone report: 05_Defect_Reports/BUG-003.md.</x:v>
      </x:c>
    </x:row>
    <x:row r="8">
      <x:c r="A8" s="69" t="str">
        <x:v>BUG-004</x:v>
      </x:c>
      <x:c r="B8" s="70" t="str">
        <x:v>TC-MYI-004</x:v>
      </x:c>
      <x:c r="C8" s="70" t="str">
        <x:v>RQ-MYI-004</x:v>
      </x:c>
      <x:c r="D8" s="70" t="str">
        <x:v>ESS user Job/Salary access does not enforce the expected read-only permission</x:v>
      </x:c>
      <x:c r="E8" s="70" t="str">
        <x:v>My Info</x:v>
      </x:c>
      <x:c r="F8" s="70" t="str">
        <x:v>Authorization / Access Control</x:v>
      </x:c>
      <x:c r="G8" s="70" t="str">
        <x:v>ENV-DEMO-01 — OrangeHRM Demo</x:v>
      </x:c>
      <x:c r="H8" s="70" t="str">
        <x:v>Not recorded in historical source</x:v>
      </x:c>
      <x:c r="I8" s="70" t="str">
        <x:v>Not Exposed / not recorded</x:v>
      </x:c>
      <x:c r="J8" s="70" t="str">
        <x:v>High</x:v>
      </x:c>
      <x:c r="K8" s="70" t="str">
        <x:v>High</x:v>
      </x:c>
      <x:c r="L8" s="70" t="str">
        <x:v>An ESS user account is available and authenticated; My Info Job/Salary areas are accessible for permission verification.</x:v>
      </x:c>
      <x:c r="M8" s="70" t="str">
        <x:v>1. Login as an ESS user.
2. Navigate to My Info.
3. Open the Job and/or Salary area available to the account.
4. Inspect whether protected employment fields can be edited.
5. Attempt an edit only where the UI permits it.</x:v>
      </x:c>
      <x:c r="N8" s="70" t="str">
        <x:v>Historical execution was recorded as Fail: ESS access did not satisfy the expected read-only/restricted permission behavior. The exact editable controls or resulting action were not retained in the source evidence.</x:v>
      </x:c>
      <x:c r="O8" s="70" t="str">
        <x:v>Protected Job/Salary information should remain read-only or otherwise restricted according to the ESS permission baseline.</x:v>
      </x:c>
      <x:c r="P8" s="70" t="str">
        <x:v>Open - Needs Reproduction</x:v>
      </x:c>
      <x:c r="Q8" s="70" t="str">
        <x:v>Unassigned — Engineering</x:v>
      </x:c>
      <x:c r="R8" s="70" t="str">
        <x:v>QA Engineer</x:v>
      </x:c>
      <x:c r="S8" s="83" t="n">
        <x:v>46275</x:v>
      </x:c>
      <x:c r="T8" s="70" t="str">
        <x:v>Not yet re-verified</x:v>
      </x:c>
      <x:c r="U8" s="70" t="str">
        <x:v>Historical Fail only</x:v>
      </x:c>
      <x:c r="V8" s="70" t="str">
        <x:v>Pending</x:v>
      </x:c>
      <x:c r="W8" s="71" t="str">
        <x:v>Source failure retained from TC-MYI-004. This is the only failed case on the Critical Path suite and should be reproduced before release disposition. Included in Sanity and Critical Path suites. Standalone report: 05_Defect_Reports/BUG-004.md.</x:v>
      </x:c>
    </x:row>
  </x:sheetData>
  <x:mergeCells>
    <x:mergeCell ref="A1:W1"/>
    <x:mergeCell ref="A2:W2"/>
  </x:mergeCells>
  <x:conditionalFormatting sqref="J5:J100">
    <x:cfRule type="expression" dxfId="0" priority="1">
      <x:formula>J5="Critical"</x:formula>
    </x:cfRule>
    <x:cfRule type="expression" dxfId="1" priority="2">
      <x:formula>J5="High"</x:formula>
    </x:cfRule>
    <x:cfRule type="expression" dxfId="2" priority="3">
      <x:formula>J5="Medium"</x:formula>
    </x:cfRule>
    <x:cfRule type="expression" dxfId="3" priority="4">
      <x:formula>J5="Low"</x:formula>
    </x:cfRule>
  </x:conditionalFormatting>
  <x:conditionalFormatting sqref="K5:K100">
    <x:cfRule type="expression" dxfId="4" priority="5">
      <x:formula>K5="High"</x:formula>
    </x:cfRule>
    <x:cfRule type="expression" dxfId="5" priority="6">
      <x:formula>K5="Medium"</x:formula>
    </x:cfRule>
    <x:cfRule type="expression" dxfId="6" priority="7">
      <x:formula>K5="Low"</x:formula>
    </x:cfRule>
  </x:conditionalFormatting>
  <x:conditionalFormatting sqref="P5:P100">
    <x:cfRule type="expression" dxfId="7" priority="8">
      <x:formula>P5="Closed"</x:formula>
    </x:cfRule>
    <x:cfRule type="expression" dxfId="8" priority="9">
      <x:formula>P5="Open - Needs Reproduction"</x:formula>
    </x:cfRule>
    <x:cfRule type="expression" dxfId="9" priority="10">
      <x:formula>P5="Reopened"</x:formula>
    </x:cfRule>
  </x:conditionalFormatting>
  <x:dataValidations count="7">
    <x:dataValidation type="list" sqref="J5:J100">
      <x:formula1>"Critical,High,Medium,Low"</x:formula1>
    </x:dataValidation>
    <x:dataValidation type="list" sqref="K5:K100">
      <x:formula1>"High,Medium,Low"</x:formula1>
    </x:dataValidation>
    <x:dataValidation type="list" sqref="P5:P100">
      <x:formula1>"Open - Needs Reproduction,Open,In Progress,Fixed,Ready for Retest,Reopened,Closed,Rejected,Deferred"</x:formula1>
    </x:dataValidation>
    <x:dataValidation type="list" sqref="Q5:Q100">
      <x:formula1>"Unassigned — Engineering,Frontend Engineering,Backend Engineering,IAM / Security Engineering,Product / Requirements"</x:formula1>
    </x:dataValidation>
    <x:dataValidation type="list" sqref="T5:T100">
      <x:formula1>"Always,Intermittent,Not yet re-verified"</x:formula1>
    </x:dataValidation>
    <x:dataValidation type="list" sqref="U5:U100">
      <x:formula1>"Historical Fail only,Partial evidence,Complete evidence"</x:formula1>
    </x:dataValidation>
    <x:dataValidation type="list" sqref="V5:V100">
      <x:formula1>"Pending,Pass,Fail,Blocked,Not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36a9a345614fb6"/>
  </x:tableParts>
</x:worksheet>
</file>