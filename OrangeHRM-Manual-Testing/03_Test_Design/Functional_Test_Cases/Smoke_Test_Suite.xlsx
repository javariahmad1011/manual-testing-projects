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8b46b2263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oke Test Suite" sheetId="1" r:id="R3111ec89f5fc4647"/>
    <x:sheet xmlns:r="http://schemas.openxmlformats.org/officeDocument/2006/relationships" name="Suite Overview" sheetId="2" r:id="R36947715fa19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"/>
  </x:numFmts>
  <x:fonts count="9">
    <x:font>
      <x:sz val="11"/>
      <x:name val="Carlito"/>
    </x:font>
    <x:font>
      <x:b/>
      <x:sz val="18"/>
      <x:color theme="0"/>
      <x:name val="Aptos Display"/>
    </x:font>
    <x:font>
      <x:i/>
      <x:sz val="10"/>
      <x:color theme="1"/>
      <x:name val="Aptos"/>
    </x:font>
    <x:font>
      <x:b/>
      <x:sz val="10"/>
      <x:color rgb="FF17365D"/>
      <x:name val="Aptos"/>
    </x:font>
    <x:font>
      <x:b/>
      <x:sz val="10"/>
      <x:color theme="0"/>
      <x:name val="Aptos"/>
    </x:font>
    <x:font>
      <x:sz val="9"/>
      <x:color theme="1"/>
      <x:name val="Aptos"/>
    </x:font>
    <x:font>
      <x:i/>
      <x:sz val="9"/>
      <x:color rgb="FF595959"/>
      <x:name val="Aptos"/>
    </x:font>
    <x:font>
      <x:b/>
      <x:sz val="11"/>
      <x:color theme="0"/>
      <x:name val="Carlito"/>
    </x:font>
    <x:font>
      <x:sz val="10"/>
      <x:color theme="1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2"/>
      </x:patternFill>
    </x:fill>
    <x:fill>
      <x:patternFill patternType="solid">
        <x:fgColor rgb="FFD9EAF7"/>
      </x:patternFill>
    </x:fill>
    <x:fill>
      <x:patternFill patternType="solid">
        <x:fgColor theme="5"/>
      </x:patternFill>
    </x:fill>
    <x:fill>
      <x:patternFill patternType="solid">
        <x:fgColor rgb="FFF8FAFC"/>
      </x:patternFill>
    </x:fill>
    <x:fill>
      <x:patternFill patternType="solid">
        <x:fgColor theme="7"/>
      </x:patternFill>
    </x:fill>
    <x:fill>
      <x:patternFill patternType="solid">
        <x:fgColor rgb="FFFFF9E6"/>
      </x:patternFill>
    </x:fill>
  </x:fills>
  <x:borders count="62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EE7"/>
      </x:left>
      <x:top style="thin">
        <x:color rgb="FFD9DEE7"/>
      </x:top>
    </x:border>
    <x:border>
      <x:top style="thin">
        <x:color rgb="FFD9DEE7"/>
      </x:top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</x:border>
    <x:border>
      <x:right style="thin">
        <x:color rgb="FFD9DEE7"/>
      </x:right>
    </x:border>
    <x:border>
      <x:left style="thin">
        <x:color rgb="FFD9DEE7"/>
      </x:left>
      <x:bottom style="thin">
        <x:color rgb="FFD9DEE7"/>
      </x:bottom>
    </x:border>
    <x:border>
      <x:bottom style="thin">
        <x:color rgb="FFD9DEE7"/>
      </x:bottom>
    </x:border>
    <x:border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top style="thin">
        <x:color rgb="FFD9DEE7"/>
      </x:top>
    </x:border>
    <x:border>
      <x:top style="thin">
        <x:color rgb="FFD9DEE7"/>
      </x:top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</x:border>
    <x:border>
      <x:right style="thin">
        <x:color rgb="FFD9DEE7"/>
      </x:right>
    </x:border>
    <x:border>
      <x:left style="thin">
        <x:color rgb="FFD9DEE7"/>
      </x:left>
      <x:bottom style="thin">
        <x:color rgb="FFD9DEE7"/>
      </x:bottom>
    </x:border>
    <x:border>
      <x:bottom style="thin">
        <x:color rgb="FFD9DEE7"/>
      </x:bottom>
    </x:border>
    <x:border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B8C2CC"/>
      </x:left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left style="thin">
        <x:color rgb="FFB8C2CC"/>
      </x:left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top style="thin">
        <x:color rgb="FFB8C2CC"/>
      </x:top>
    </x:border>
    <x:border>
      <x:bottom style="thin">
        <x:color rgb="FFB8C2CC"/>
      </x:bottom>
    </x:border>
    <x:border>
      <x:top style="thin">
        <x:color rgb="FFB8C2CC"/>
      </x:top>
    </x:border>
    <x:border>
      <x:bottom style="thin">
        <x:color rgb="FFB8C2CC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3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5" fillId="0" borderId="24" xfId="0" applyNumberFormat="1" applyFont="1" applyFill="1" applyBorder="1" applyAlignment="1">
      <x:alignment vertical="top" wrapText="1"/>
    </x:xf>
    <x:xf numFmtId="0" fontId="5" fillId="0" borderId="25" xfId="0" applyNumberFormat="1" applyFont="1" applyFill="1" applyBorder="1" applyAlignment="1">
      <x:alignment vertical="top" wrapText="1"/>
    </x:xf>
    <x:xf numFmtId="0" fontId="5" fillId="0" borderId="26" xfId="0" applyNumberFormat="1" applyFont="1" applyFill="1" applyBorder="1" applyAlignment="1">
      <x:alignment vertical="top" wrapText="1"/>
    </x:xf>
    <x:xf numFmtId="0" fontId="5" fillId="0" borderId="27" xfId="0" applyNumberFormat="1" applyFont="1" applyFill="1" applyBorder="1" applyAlignment="1">
      <x:alignment vertical="top" wrapText="1"/>
    </x:xf>
    <x:xf numFmtId="0" fontId="5" fillId="0" borderId="28" xfId="0" applyNumberFormat="1" applyFont="1" applyFill="1" applyBorder="1" applyAlignment="1">
      <x:alignment vertical="top" wrapText="1"/>
    </x:xf>
    <x:xf numFmtId="0" fontId="5" fillId="0" borderId="29" xfId="0" applyNumberFormat="1" applyFont="1" applyFill="1" applyBorder="1" applyAlignment="1">
      <x:alignment vertical="top" wrapText="1"/>
    </x:xf>
    <x:xf numFmtId="0" fontId="5" fillId="0" borderId="24" xfId="0" applyNumberFormat="1" applyFont="1" applyFill="1" applyBorder="1" applyAlignment="1">
      <x:alignment horizontal="left" vertical="top" wrapText="1"/>
    </x:xf>
    <x:xf numFmtId="0" fontId="5" fillId="0" borderId="25" xfId="0" applyNumberFormat="1" applyFont="1" applyFill="1" applyBorder="1" applyAlignment="1">
      <x:alignment horizontal="left" vertical="top" wrapText="1"/>
    </x:xf>
    <x:xf numFmtId="0" fontId="5" fillId="0" borderId="27" xfId="0" applyNumberFormat="1" applyFont="1" applyFill="1" applyBorder="1" applyAlignment="1">
      <x:alignment horizontal="left" vertical="top" wrapText="1"/>
    </x:xf>
    <x:xf numFmtId="0" fontId="5" fillId="0" borderId="28" xfId="0" applyNumberFormat="1" applyFont="1" applyFill="1" applyBorder="1" applyAlignment="1">
      <x:alignment horizontal="left" vertical="top" wrapText="1"/>
    </x:xf>
    <x:xf numFmtId="0" fontId="5" fillId="0" borderId="25" xfId="0" applyNumberFormat="1" applyFont="1" applyFill="1" applyBorder="1" applyAlignment="1">
      <x:alignment horizontal="center" vertical="top" wrapText="1"/>
    </x:xf>
    <x:xf numFmtId="0" fontId="5" fillId="0" borderId="28" xfId="0" applyNumberFormat="1" applyFont="1" applyFill="1" applyBorder="1" applyAlignment="1">
      <x:alignment horizontal="center" vertical="top" wrapText="1"/>
    </x:xf>
    <x:xf numFmtId="200" fontId="5" fillId="0" borderId="25" xfId="0" applyNumberFormat="1" applyFont="1" applyFill="1" applyBorder="1" applyAlignment="1">
      <x:alignment horizontal="center" vertical="top" wrapText="1"/>
    </x:xf>
    <x:xf numFmtId="200" fontId="5" fillId="0" borderId="28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30" xfId="0" applyNumberFormat="1" applyFont="1" applyFill="1" applyBorder="1" applyAlignment="1">
      <x:alignment horizontal="center"/>
    </x:xf>
    <x:xf numFmtId="0" fontId="7" fillId="5" borderId="31" xfId="0" applyNumberFormat="1" applyFont="1" applyFill="1" applyBorder="1" applyAlignment="1">
      <x:alignment horizontal="center"/>
    </x:xf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7" fillId="5" borderId="36" xfId="0" applyNumberFormat="1" applyFont="1" applyFill="1" applyBorder="1" applyAlignment="1">
      <x:alignment horizontal="center"/>
    </x:xf>
    <x:xf numFmtId="0" fontId="7" fillId="5" borderId="37" xfId="0" applyNumberFormat="1" applyFont="1" applyFill="1" applyBorder="1" applyAlignment="1">
      <x:alignment horizontal="center"/>
    </x:xf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3" fillId="0" borderId="32" xfId="0" applyNumberFormat="1" applyFont="1" applyFill="1" applyBorder="1"/>
    <x:xf numFmtId="0" fontId="3" fillId="0" borderId="34" xfId="0" applyNumberFormat="1" applyFont="1" applyFill="1" applyBorder="1"/>
    <x:xf numFmtId="0" fontId="3" fillId="0" borderId="38" xfId="0" applyNumberFormat="1" applyFont="1" applyFill="1" applyBorder="1"/>
    <x:xf numFmtId="0" fontId="3" fillId="0" borderId="40" xfId="0" applyNumberFormat="1" applyFont="1" applyFill="1" applyBorder="1"/>
    <x:xf numFmtId="0" fontId="8" fillId="0" borderId="33" xfId="0" applyNumberFormat="1" applyFont="1" applyFill="1" applyBorder="1"/>
    <x:xf numFmtId="0" fontId="8" fillId="0" borderId="35" xfId="0" applyNumberFormat="1" applyFont="1" applyFill="1" applyBorder="1"/>
    <x:xf numFmtId="0" fontId="8" fillId="0" borderId="39" xfId="0" applyNumberFormat="1" applyFont="1" applyFill="1" applyBorder="1"/>
    <x:xf numFmtId="0" fontId="8" fillId="0" borderId="41" xfId="0" applyNumberFormat="1" applyFont="1" applyFill="1" applyBorder="1"/>
    <x:xf numFmtId="200" fontId="8" fillId="0" borderId="33" xfId="0" applyNumberFormat="1" applyFont="1" applyFill="1" applyBorder="1"/>
    <x:xf numFmtId="200" fontId="8" fillId="0" borderId="39" xfId="0" applyNumberFormat="1" applyFont="1" applyFill="1" applyBorder="1"/>
    <x:xf numFmtId="201" fontId="8" fillId="0" borderId="35" xfId="0" applyNumberFormat="1" applyFont="1" applyFill="1" applyBorder="1"/>
    <x:xf numFmtId="201" fontId="8" fillId="0" borderId="4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30" xfId="0" applyNumberFormat="1" applyFont="1" applyFill="1" applyBorder="1"/>
    <x:xf numFmtId="0" fontId="8" fillId="6" borderId="42" xfId="0" applyNumberFormat="1" applyFont="1" applyFill="1" applyBorder="1"/>
    <x:xf numFmtId="0" fontId="8" fillId="6" borderId="31" xfId="0" applyNumberFormat="1" applyFont="1" applyFill="1" applyBorder="1"/>
    <x:xf numFmtId="0" fontId="8" fillId="6" borderId="32" xfId="0" applyNumberFormat="1" applyFont="1" applyFill="1" applyBorder="1"/>
    <x:xf numFmtId="0" fontId="8" fillId="6" borderId="33" xfId="0" applyNumberFormat="1" applyFont="1" applyFill="1" applyBorder="1"/>
    <x:xf numFmtId="0" fontId="8" fillId="6" borderId="34" xfId="0" applyNumberFormat="1" applyFont="1" applyFill="1" applyBorder="1"/>
    <x:xf numFmtId="0" fontId="8" fillId="6" borderId="43" xfId="0" applyNumberFormat="1" applyFont="1" applyFill="1" applyBorder="1"/>
    <x:xf numFmtId="0" fontId="8" fillId="6" borderId="35" xfId="0" applyNumberFormat="1" applyFont="1" applyFill="1" applyBorder="1"/>
    <x:xf numFmtId="0" fontId="8" fillId="6" borderId="30" xfId="0" applyNumberFormat="1" applyFont="1" applyFill="1" applyBorder="1" applyAlignment="1">
      <x:alignment wrapText="1"/>
    </x:xf>
    <x:xf numFmtId="0" fontId="8" fillId="6" borderId="42" xfId="0" applyNumberFormat="1" applyFont="1" applyFill="1" applyBorder="1" applyAlignment="1">
      <x:alignment wrapText="1"/>
    </x:xf>
    <x:xf numFmtId="0" fontId="8" fillId="6" borderId="31" xfId="0" applyNumberFormat="1" applyFont="1" applyFill="1" applyBorder="1" applyAlignment="1">
      <x:alignment wrapText="1"/>
    </x:xf>
    <x:xf numFmtId="0" fontId="8" fillId="6" borderId="32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33" xfId="0" applyNumberFormat="1" applyFont="1" applyFill="1" applyBorder="1" applyAlignment="1">
      <x:alignment wrapText="1"/>
    </x:xf>
    <x:xf numFmtId="0" fontId="8" fillId="6" borderId="34" xfId="0" applyNumberFormat="1" applyFont="1" applyFill="1" applyBorder="1" applyAlignment="1">
      <x:alignment wrapText="1"/>
    </x:xf>
    <x:xf numFmtId="0" fontId="8" fillId="6" borderId="43" xfId="0" applyNumberFormat="1" applyFont="1" applyFill="1" applyBorder="1" applyAlignment="1">
      <x:alignment wrapText="1"/>
    </x:xf>
    <x:xf numFmtId="0" fontId="8" fillId="6" borderId="35" xfId="0" applyNumberFormat="1" applyFont="1" applyFill="1" applyBorder="1" applyAlignment="1">
      <x:alignment wrapText="1"/>
    </x:xf>
    <x:xf numFmtId="0" fontId="8" fillId="6" borderId="30" xfId="0" applyNumberFormat="1" applyFont="1" applyFill="1" applyBorder="1" applyAlignment="1">
      <x:alignment vertical="top" wrapText="1"/>
    </x:xf>
    <x:xf numFmtId="0" fontId="8" fillId="6" borderId="42" xfId="0" applyNumberFormat="1" applyFont="1" applyFill="1" applyBorder="1" applyAlignment="1">
      <x:alignment vertical="top" wrapText="1"/>
    </x:xf>
    <x:xf numFmtId="0" fontId="8" fillId="6" borderId="31" xfId="0" applyNumberFormat="1" applyFont="1" applyFill="1" applyBorder="1" applyAlignment="1">
      <x:alignment vertical="top" wrapText="1"/>
    </x:xf>
    <x:xf numFmtId="0" fontId="8" fillId="6" borderId="32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33" xfId="0" applyNumberFormat="1" applyFont="1" applyFill="1" applyBorder="1" applyAlignment="1">
      <x:alignment vertical="top" wrapText="1"/>
    </x:xf>
    <x:xf numFmtId="0" fontId="8" fillId="6" borderId="34" xfId="0" applyNumberFormat="1" applyFont="1" applyFill="1" applyBorder="1" applyAlignment="1">
      <x:alignment vertical="top" wrapText="1"/>
    </x:xf>
    <x:xf numFmtId="0" fontId="8" fillId="6" borderId="43" xfId="0" applyNumberFormat="1" applyFont="1" applyFill="1" applyBorder="1" applyAlignment="1">
      <x:alignment vertical="top" wrapText="1"/>
    </x:xf>
    <x:xf numFmtId="0" fontId="8" fillId="6" borderId="35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36" xfId="0" applyNumberFormat="1" applyFont="1" applyFill="1" applyBorder="1"/>
    <x:xf numFmtId="0" fontId="8" fillId="6" borderId="44" xfId="0" applyNumberFormat="1" applyFont="1" applyFill="1" applyBorder="1"/>
    <x:xf numFmtId="0" fontId="8" fillId="6" borderId="37" xfId="0" applyNumberFormat="1" applyFont="1" applyFill="1" applyBorder="1"/>
    <x:xf numFmtId="0" fontId="8" fillId="6" borderId="38" xfId="0" applyNumberFormat="1" applyFont="1" applyFill="1" applyBorder="1"/>
    <x:xf numFmtId="0" fontId="8" fillId="6" borderId="39" xfId="0" applyNumberFormat="1" applyFont="1" applyFill="1" applyBorder="1"/>
    <x:xf numFmtId="0" fontId="8" fillId="6" borderId="40" xfId="0" applyNumberFormat="1" applyFont="1" applyFill="1" applyBorder="1"/>
    <x:xf numFmtId="0" fontId="8" fillId="6" borderId="45" xfId="0" applyNumberFormat="1" applyFont="1" applyFill="1" applyBorder="1"/>
    <x:xf numFmtId="0" fontId="8" fillId="6" borderId="41" xfId="0" applyNumberFormat="1" applyFont="1" applyFill="1" applyBorder="1"/>
    <x:xf numFmtId="0" fontId="8" fillId="6" borderId="36" xfId="0" applyNumberFormat="1" applyFont="1" applyFill="1" applyBorder="1" applyAlignment="1">
      <x:alignment wrapText="1"/>
    </x:xf>
    <x:xf numFmtId="0" fontId="8" fillId="6" borderId="44" xfId="0" applyNumberFormat="1" applyFont="1" applyFill="1" applyBorder="1" applyAlignment="1">
      <x:alignment wrapText="1"/>
    </x:xf>
    <x:xf numFmtId="0" fontId="8" fillId="6" borderId="37" xfId="0" applyNumberFormat="1" applyFont="1" applyFill="1" applyBorder="1" applyAlignment="1">
      <x:alignment wrapText="1"/>
    </x:xf>
    <x:xf numFmtId="0" fontId="8" fillId="6" borderId="38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39" xfId="0" applyNumberFormat="1" applyFont="1" applyFill="1" applyBorder="1" applyAlignment="1">
      <x:alignment wrapText="1"/>
    </x:xf>
    <x:xf numFmtId="0" fontId="8" fillId="6" borderId="40" xfId="0" applyNumberFormat="1" applyFont="1" applyFill="1" applyBorder="1" applyAlignment="1">
      <x:alignment wrapText="1"/>
    </x:xf>
    <x:xf numFmtId="0" fontId="8" fillId="6" borderId="45" xfId="0" applyNumberFormat="1" applyFont="1" applyFill="1" applyBorder="1" applyAlignment="1">
      <x:alignment wrapText="1"/>
    </x:xf>
    <x:xf numFmtId="0" fontId="8" fillId="6" borderId="41" xfId="0" applyNumberFormat="1" applyFont="1" applyFill="1" applyBorder="1" applyAlignment="1">
      <x:alignment wrapText="1"/>
    </x:xf>
    <x:xf numFmtId="0" fontId="8" fillId="6" borderId="36" xfId="0" applyNumberFormat="1" applyFont="1" applyFill="1" applyBorder="1" applyAlignment="1">
      <x:alignment vertical="top" wrapText="1"/>
    </x:xf>
    <x:xf numFmtId="0" fontId="8" fillId="6" borderId="44" xfId="0" applyNumberFormat="1" applyFont="1" applyFill="1" applyBorder="1" applyAlignment="1">
      <x:alignment vertical="top" wrapText="1"/>
    </x:xf>
    <x:xf numFmtId="0" fontId="8" fillId="6" borderId="37" xfId="0" applyNumberFormat="1" applyFont="1" applyFill="1" applyBorder="1" applyAlignment="1">
      <x:alignment vertical="top" wrapText="1"/>
    </x:xf>
    <x:xf numFmtId="0" fontId="8" fillId="6" borderId="38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8" fillId="6" borderId="39" xfId="0" applyNumberFormat="1" applyFont="1" applyFill="1" applyBorder="1" applyAlignment="1">
      <x:alignment vertical="top" wrapText="1"/>
    </x:xf>
    <x:xf numFmtId="0" fontId="8" fillId="6" borderId="40" xfId="0" applyNumberFormat="1" applyFont="1" applyFill="1" applyBorder="1" applyAlignment="1">
      <x:alignment vertical="top" wrapText="1"/>
    </x:xf>
    <x:xf numFmtId="0" fontId="8" fillId="6" borderId="45" xfId="0" applyNumberFormat="1" applyFont="1" applyFill="1" applyBorder="1" applyAlignment="1">
      <x:alignment vertical="top" wrapText="1"/>
    </x:xf>
    <x:xf numFmtId="0" fontId="8" fillId="6" borderId="4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center" wrapText="1"/>
    </x:xf>
    <x:xf numFmtId="0" fontId="7" fillId="5" borderId="30" xfId="0" applyNumberFormat="1" applyFont="1" applyFill="1" applyBorder="1" applyAlignment="1">
      <x:alignment horizontal="center" wrapText="1"/>
    </x:xf>
    <x:xf numFmtId="0" fontId="7" fillId="5" borderId="42" xfId="0" applyNumberFormat="1" applyFont="1" applyFill="1" applyBorder="1" applyAlignment="1">
      <x:alignment horizontal="center" wrapText="1"/>
    </x:xf>
    <x:xf numFmtId="0" fontId="7" fillId="5" borderId="3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43" xfId="0" applyNumberFormat="1" applyFont="1" applyFill="1" applyBorder="1"/>
    <x:xf numFmtId="0" fontId="7" fillId="5" borderId="36" xfId="0" applyNumberFormat="1" applyFont="1" applyFill="1" applyBorder="1" applyAlignment="1">
      <x:alignment horizontal="center" wrapText="1"/>
    </x:xf>
    <x:xf numFmtId="0" fontId="7" fillId="5" borderId="44" xfId="0" applyNumberFormat="1" applyFont="1" applyFill="1" applyBorder="1" applyAlignment="1">
      <x:alignment horizontal="center" wrapText="1"/>
    </x:xf>
    <x:xf numFmtId="0" fontId="7" fillId="5" borderId="37" xfId="0" applyNumberFormat="1" applyFont="1" applyFill="1" applyBorder="1" applyAlignment="1">
      <x:alignment horizontal="center" wrapText="1"/>
    </x:xf>
    <x:xf numFmtId="0" fontId="0" fillId="0" borderId="45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6" xfId="0" applyNumberFormat="1" applyFont="1" applyFill="1" applyBorder="1"/>
    <x:xf numFmtId="0" fontId="8" fillId="8" borderId="47" xfId="0" applyNumberFormat="1" applyFont="1" applyFill="1" applyBorder="1"/>
    <x:xf numFmtId="0" fontId="8" fillId="8" borderId="48" xfId="0" applyNumberFormat="1" applyFont="1" applyFill="1" applyBorder="1"/>
    <x:xf numFmtId="0" fontId="8" fillId="8" borderId="49" xfId="0" applyNumberFormat="1" applyFont="1" applyFill="1" applyBorder="1"/>
    <x:xf numFmtId="0" fontId="8" fillId="8" borderId="50" xfId="0" applyNumberFormat="1" applyFont="1" applyFill="1" applyBorder="1"/>
    <x:xf numFmtId="0" fontId="8" fillId="8" borderId="51" xfId="0" applyNumberFormat="1" applyFont="1" applyFill="1" applyBorder="1"/>
    <x:xf numFmtId="0" fontId="8" fillId="8" borderId="52" xfId="0" applyNumberFormat="1" applyFont="1" applyFill="1" applyBorder="1"/>
    <x:xf numFmtId="0" fontId="8" fillId="8" borderId="53" xfId="0" applyNumberFormat="1" applyFont="1" applyFill="1" applyBorder="1"/>
    <x:xf numFmtId="0" fontId="8" fillId="8" borderId="46" xfId="0" applyNumberFormat="1" applyFont="1" applyFill="1" applyBorder="1" applyAlignment="1">
      <x:alignment wrapText="1"/>
    </x:xf>
    <x:xf numFmtId="0" fontId="8" fillId="8" borderId="47" xfId="0" applyNumberFormat="1" applyFont="1" applyFill="1" applyBorder="1" applyAlignment="1">
      <x:alignment wrapText="1"/>
    </x:xf>
    <x:xf numFmtId="0" fontId="8" fillId="8" borderId="48" xfId="0" applyNumberFormat="1" applyFont="1" applyFill="1" applyBorder="1" applyAlignment="1">
      <x:alignment wrapText="1"/>
    </x:xf>
    <x:xf numFmtId="0" fontId="8" fillId="8" borderId="49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50" xfId="0" applyNumberFormat="1" applyFont="1" applyFill="1" applyBorder="1" applyAlignment="1">
      <x:alignment wrapText="1"/>
    </x:xf>
    <x:xf numFmtId="0" fontId="8" fillId="8" borderId="51" xfId="0" applyNumberFormat="1" applyFont="1" applyFill="1" applyBorder="1" applyAlignment="1">
      <x:alignment wrapText="1"/>
    </x:xf>
    <x:xf numFmtId="0" fontId="8" fillId="8" borderId="52" xfId="0" applyNumberFormat="1" applyFont="1" applyFill="1" applyBorder="1" applyAlignment="1">
      <x:alignment wrapText="1"/>
    </x:xf>
    <x:xf numFmtId="0" fontId="8" fillId="8" borderId="53" xfId="0" applyNumberFormat="1" applyFont="1" applyFill="1" applyBorder="1" applyAlignment="1">
      <x:alignment wrapText="1"/>
    </x:xf>
    <x:xf numFmtId="0" fontId="8" fillId="8" borderId="46" xfId="0" applyNumberFormat="1" applyFont="1" applyFill="1" applyBorder="1" applyAlignment="1">
      <x:alignment vertical="top" wrapText="1"/>
    </x:xf>
    <x:xf numFmtId="0" fontId="8" fillId="8" borderId="47" xfId="0" applyNumberFormat="1" applyFont="1" applyFill="1" applyBorder="1" applyAlignment="1">
      <x:alignment vertical="top" wrapText="1"/>
    </x:xf>
    <x:xf numFmtId="0" fontId="8" fillId="8" borderId="48" xfId="0" applyNumberFormat="1" applyFont="1" applyFill="1" applyBorder="1" applyAlignment="1">
      <x:alignment vertical="top" wrapText="1"/>
    </x:xf>
    <x:xf numFmtId="0" fontId="8" fillId="8" borderId="49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50" xfId="0" applyNumberFormat="1" applyFont="1" applyFill="1" applyBorder="1" applyAlignment="1">
      <x:alignment vertical="top" wrapText="1"/>
    </x:xf>
    <x:xf numFmtId="0" fontId="8" fillId="8" borderId="51" xfId="0" applyNumberFormat="1" applyFont="1" applyFill="1" applyBorder="1" applyAlignment="1">
      <x:alignment vertical="top" wrapText="1"/>
    </x:xf>
    <x:xf numFmtId="0" fontId="8" fillId="8" borderId="52" xfId="0" applyNumberFormat="1" applyFont="1" applyFill="1" applyBorder="1" applyAlignment="1">
      <x:alignment vertical="top" wrapText="1"/>
    </x:xf>
    <x:xf numFmtId="0" fontId="8" fillId="8" borderId="53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54" xfId="0" applyNumberFormat="1" applyFont="1" applyFill="1" applyBorder="1"/>
    <x:xf numFmtId="0" fontId="8" fillId="8" borderId="55" xfId="0" applyNumberFormat="1" applyFont="1" applyFill="1" applyBorder="1"/>
    <x:xf numFmtId="0" fontId="8" fillId="8" borderId="56" xfId="0" applyNumberFormat="1" applyFont="1" applyFill="1" applyBorder="1"/>
    <x:xf numFmtId="0" fontId="8" fillId="8" borderId="57" xfId="0" applyNumberFormat="1" applyFont="1" applyFill="1" applyBorder="1"/>
    <x:xf numFmtId="0" fontId="8" fillId="8" borderId="58" xfId="0" applyNumberFormat="1" applyFont="1" applyFill="1" applyBorder="1"/>
    <x:xf numFmtId="0" fontId="8" fillId="8" borderId="59" xfId="0" applyNumberFormat="1" applyFont="1" applyFill="1" applyBorder="1"/>
    <x:xf numFmtId="0" fontId="8" fillId="8" borderId="60" xfId="0" applyNumberFormat="1" applyFont="1" applyFill="1" applyBorder="1"/>
    <x:xf numFmtId="0" fontId="8" fillId="8" borderId="61" xfId="0" applyNumberFormat="1" applyFont="1" applyFill="1" applyBorder="1"/>
    <x:xf numFmtId="0" fontId="8" fillId="8" borderId="54" xfId="0" applyNumberFormat="1" applyFont="1" applyFill="1" applyBorder="1" applyAlignment="1">
      <x:alignment wrapText="1"/>
    </x:xf>
    <x:xf numFmtId="0" fontId="8" fillId="8" borderId="55" xfId="0" applyNumberFormat="1" applyFont="1" applyFill="1" applyBorder="1" applyAlignment="1">
      <x:alignment wrapText="1"/>
    </x:xf>
    <x:xf numFmtId="0" fontId="8" fillId="8" borderId="56" xfId="0" applyNumberFormat="1" applyFont="1" applyFill="1" applyBorder="1" applyAlignment="1">
      <x:alignment wrapText="1"/>
    </x:xf>
    <x:xf numFmtId="0" fontId="8" fillId="8" borderId="57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58" xfId="0" applyNumberFormat="1" applyFont="1" applyFill="1" applyBorder="1" applyAlignment="1">
      <x:alignment wrapText="1"/>
    </x:xf>
    <x:xf numFmtId="0" fontId="8" fillId="8" borderId="59" xfId="0" applyNumberFormat="1" applyFont="1" applyFill="1" applyBorder="1" applyAlignment="1">
      <x:alignment wrapText="1"/>
    </x:xf>
    <x:xf numFmtId="0" fontId="8" fillId="8" borderId="60" xfId="0" applyNumberFormat="1" applyFont="1" applyFill="1" applyBorder="1" applyAlignment="1">
      <x:alignment wrapText="1"/>
    </x:xf>
    <x:xf numFmtId="0" fontId="8" fillId="8" borderId="61" xfId="0" applyNumberFormat="1" applyFont="1" applyFill="1" applyBorder="1" applyAlignment="1">
      <x:alignment wrapText="1"/>
    </x:xf>
    <x:xf numFmtId="0" fontId="8" fillId="8" borderId="54" xfId="0" applyNumberFormat="1" applyFont="1" applyFill="1" applyBorder="1" applyAlignment="1">
      <x:alignment vertical="top" wrapText="1"/>
    </x:xf>
    <x:xf numFmtId="0" fontId="8" fillId="8" borderId="55" xfId="0" applyNumberFormat="1" applyFont="1" applyFill="1" applyBorder="1" applyAlignment="1">
      <x:alignment vertical="top" wrapText="1"/>
    </x:xf>
    <x:xf numFmtId="0" fontId="8" fillId="8" borderId="56" xfId="0" applyNumberFormat="1" applyFont="1" applyFill="1" applyBorder="1" applyAlignment="1">
      <x:alignment vertical="top" wrapText="1"/>
    </x:xf>
    <x:xf numFmtId="0" fontId="8" fillId="8" borderId="57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58" xfId="0" applyNumberFormat="1" applyFont="1" applyFill="1" applyBorder="1" applyAlignment="1">
      <x:alignment vertical="top" wrapText="1"/>
    </x:xf>
    <x:xf numFmtId="0" fontId="8" fillId="8" borderId="59" xfId="0" applyNumberFormat="1" applyFont="1" applyFill="1" applyBorder="1" applyAlignment="1">
      <x:alignment vertical="top" wrapText="1"/>
    </x:xf>
    <x:xf numFmtId="0" fontId="8" fillId="8" borderId="60" xfId="0" applyNumberFormat="1" applyFont="1" applyFill="1" applyBorder="1" applyAlignment="1">
      <x:alignment vertical="top" wrapText="1"/>
    </x:xf>
    <x:xf numFmtId="0" fontId="8" fillId="8" borderId="6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d550ca2f04a64" /><Relationship Type="http://schemas.openxmlformats.org/officeDocument/2006/relationships/theme" Target="/xl/theme/theme1.xml" Id="R51a86b90df5a46f1" /><Relationship Type="http://schemas.openxmlformats.org/officeDocument/2006/relationships/sharedStrings" Target="/xl/sharedStrings.xml" Id="R15743b724c644e8c" /><Relationship Type="http://schemas.openxmlformats.org/officeDocument/2006/relationships/worksheet" Target="/xl/worksheets/sheet1.xml" Id="R3111ec89f5fc4647" /><Relationship Type="http://schemas.openxmlformats.org/officeDocument/2006/relationships/worksheet" Target="/xl/worksheets/sheet2.xml" Id="R36947715fa194f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3ad08da76749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Smoke Coverage by Module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'Suite Overview'!$A$14:$A$22</c:f>
              <c:strCache>
                <c:ptCount val="0"/>
              </c:strCache>
            </c:strRef>
          </c:cat>
          <c:val>
            <c:numRef>
              <c:f>'Suite Overview'!$B$14:$B$22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3ad08da76749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angeHRMSmokeSuite" displayName="OrangeHRMSmokeSuite" ref="A5:T32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OrangeHRM QA Portfolio">
      <a:dk1>
        <a:srgbClr val="1F2937"/>
      </a:dk1>
      <a:lt1>
        <a:srgbClr val="FFFFFF"/>
      </a:lt1>
      <a:dk2>
        <a:srgbClr val="0E2841"/>
      </a:dk2>
      <a:lt2>
        <a:srgbClr val="F3F6FA"/>
      </a:lt2>
      <a:accent1>
        <a:srgbClr val="17365D"/>
      </a:accent1>
      <a:accent2>
        <a:srgbClr val="2F75B5"/>
      </a:accent2>
      <a:accent3>
        <a:srgbClr val="548235"/>
      </a:accent3>
      <a:accent4>
        <a:srgbClr val="BF9000"/>
      </a:accent4>
      <a:accent5>
        <a:srgbClr val="C00000"/>
      </a:accent5>
      <a:accent6>
        <a:srgbClr val="7030A0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rangeHRM QA Portfoli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4b32b2bf6d46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190c44b1e344f6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23" hidden="0" customWidth="1"/>
    <x:col min="5" max="5" width="38" hidden="0" customWidth="1"/>
    <x:col min="6" max="6" width="40" hidden="0" customWidth="1"/>
    <x:col min="7" max="7" width="42" hidden="0" customWidth="1"/>
    <x:col min="8" max="8" width="28" hidden="0" customWidth="1"/>
    <x:col min="9" max="9" width="40" hidden="0" customWidth="1"/>
    <x:col min="10" max="10" width="34" hidden="0" customWidth="1"/>
    <x:col min="11" max="11" width="11" hidden="0" customWidth="1"/>
    <x:col min="12" max="12" width="11" hidden="0" customWidth="1"/>
    <x:col min="13" max="13" width="20" hidden="0" customWidth="1"/>
    <x:col min="14" max="14" width="12" hidden="0" customWidth="1"/>
    <x:col min="15" max="15" width="16" hidden="0" customWidth="1"/>
    <x:col min="16" max="16" width="15" hidden="0" customWidth="1"/>
    <x:col min="17" max="17" width="24" hidden="0" customWidth="1"/>
    <x:col min="18" max="18" width="16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Smoke Test Suite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13" t="str">
        <x:v>Release-gating coverage of authentication, dashboard, employee lifecycle, user administration, leave, time, recruitment, directory and logout.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4" customHeight="1">
      <x:c r="A3" s="21" t="str">
        <x:v>Baseline: 27 canonical cases | 9 modules | Selected from Deliverable 3 | Historical baseline: 27 Pass / 0 Fail | Execute before regression on each release candidate.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38" customHeight="1">
      <x:c r="A5" s="37" t="str">
        <x:v>Requirement ID</x:v>
      </x:c>
      <x:c r="B5" s="38" t="str">
        <x:v>Test Case ID</x:v>
      </x:c>
      <x:c r="C5" s="38" t="str">
        <x:v>Module</x:v>
      </x:c>
      <x:c r="D5" s="38" t="str">
        <x:v>Feature</x:v>
      </x:c>
      <x:c r="E5" s="38" t="str">
        <x:v>Test Scenario</x:v>
      </x:c>
      <x:c r="F5" s="38" t="str">
        <x:v>Preconditions</x:v>
      </x:c>
      <x:c r="G5" s="38" t="str">
        <x:v>Test Steps</x:v>
      </x:c>
      <x:c r="H5" s="38" t="str">
        <x:v>Test Data</x:v>
      </x:c>
      <x:c r="I5" s="38" t="str">
        <x:v>Expected Result</x:v>
      </x:c>
      <x:c r="J5" s="38" t="str">
        <x:v>Actual Result</x:v>
      </x:c>
      <x:c r="K5" s="38" t="str">
        <x:v>Priority</x:v>
      </x:c>
      <x:c r="L5" s="38" t="str">
        <x:v>Severity</x:v>
      </x:c>
      <x:c r="M5" s="38" t="str">
        <x:v>Type</x:v>
      </x:c>
      <x:c r="N5" s="38" t="str">
        <x:v>Status</x:v>
      </x:c>
      <x:c r="O5" s="38" t="str">
        <x:v>Executed By</x:v>
      </x:c>
      <x:c r="P5" s="38" t="str">
        <x:v>Execution Date</x:v>
      </x:c>
      <x:c r="Q5" s="38" t="str">
        <x:v>Environment</x:v>
      </x:c>
      <x:c r="R5" s="38" t="str">
        <x:v>Browser</x:v>
      </x:c>
      <x:c r="S5" s="38" t="str">
        <x:v>Build Version</x:v>
      </x:c>
      <x:c r="T5" s="39" t="str">
        <x:v>Comments</x:v>
      </x:c>
    </x:row>
    <x:row r="6">
      <x:c r="A6" s="114" t="str">
        <x:v>RQ-LGN-002</x:v>
      </x:c>
      <x:c r="B6" s="115" t="str">
        <x:v>TC-LGN-002</x:v>
      </x:c>
      <x:c r="C6" s="115" t="str">
        <x:v>Login</x:v>
      </x:c>
      <x:c r="D6" s="115" t="str">
        <x:v>Authentication</x:v>
      </x:c>
      <x:c r="E6" s="109" t="str">
        <x:v>TS-LGN-002 — Verify successful login with valid credentials</x:v>
      </x:c>
      <x:c r="F6" s="109" t="str">
        <x:v>OrangeHRM Demo login page is reachable; active Admin credentials are available; user is logged out.</x:v>
      </x:c>
      <x:c r="G6" s="109" t="str">
        <x:v>1. Enter valid username.
2. Enter valid password.
3. Click Login.</x:v>
      </x:c>
      <x:c r="H6" s="109" t="str">
        <x:v>Admin/admin123</x:v>
      </x:c>
      <x:c r="I6" s="109" t="str">
        <x:v>User redirected to Dashboard page.</x:v>
      </x:c>
      <x:c r="J6" s="109" t="str">
        <x:v>Not recorded in source workbook (historical status: Pass).</x:v>
      </x:c>
      <x:c r="K6" s="118" t="str">
        <x:v>High</x:v>
      </x:c>
      <x:c r="L6" s="118" t="str">
        <x:v>Critical</x:v>
      </x:c>
      <x:c r="M6" s="118" t="str">
        <x:v>Functional - Positive</x:v>
      </x:c>
      <x:c r="N6" s="118" t="str">
        <x:v>Pass</x:v>
      </x:c>
      <x:c r="O6" s="118" t="str">
        <x:v>Not recorded</x:v>
      </x:c>
      <x:c r="P6" s="120" t="str">
        <x:v>Not recorded</x:v>
      </x:c>
      <x:c r="Q6" s="118" t="str">
        <x:v>Source baseline - details not recorded</x:v>
      </x:c>
      <x:c r="R6" s="118" t="str">
        <x:v>Not recorded</x:v>
      </x:c>
      <x:c r="S6" s="118" t="str">
        <x:v>Not recorded</x:v>
      </x:c>
      <x:c r="T6" s="110" t="str">
        <x:v>Smoke sequence 01/27. Release-gating case selected from the canonical functional suite. Legacy ID: TC_LOGIN_002. Historical source status retained; detailed execution evidence was not recorded.</x:v>
      </x:c>
    </x:row>
    <x:row r="7">
      <x:c r="A7" s="114" t="str">
        <x:v>RQ-DSH-001</x:v>
      </x:c>
      <x:c r="B7" s="115" t="str">
        <x:v>TC-DSH-001</x:v>
      </x:c>
      <x:c r="C7" s="115" t="str">
        <x:v>Dashboard</x:v>
      </x:c>
      <x:c r="D7" s="115" t="str">
        <x:v>Dashboard Widgets</x:v>
      </x:c>
      <x:c r="E7" s="109" t="str">
        <x:v>TS-DSH-001 — Verify Dashboard loads post-login with all widgets</x:v>
      </x:c>
      <x:c r="F7" s="109" t="str">
        <x:v>User is authenticated successfully and the Dashboard is accessible.</x:v>
      </x:c>
      <x:c r="G7" s="109" t="str">
        <x:v>1. Login successfully.</x:v>
      </x:c>
      <x:c r="H7" s="109" t="str">
        <x:v>Valid credentials</x:v>
      </x:c>
      <x:c r="I7" s="109" t="str">
        <x:v>Widgets: Time at Work, My Actions, Quick Launch, Buzz Latest Posts, Employees on Leave Today, Employee Distribution charts displayed.</x:v>
      </x:c>
      <x:c r="J7" s="109" t="str">
        <x:v>Not recorded in source workbook (historical status: Pass).</x:v>
      </x:c>
      <x:c r="K7" s="118" t="str">
        <x:v>High</x:v>
      </x:c>
      <x:c r="L7" s="118" t="str">
        <x:v>High</x:v>
      </x:c>
      <x:c r="M7" s="118" t="str">
        <x:v>UI / Navigation</x:v>
      </x:c>
      <x:c r="N7" s="118" t="str">
        <x:v>Pass</x:v>
      </x:c>
      <x:c r="O7" s="118" t="str">
        <x:v>Not recorded</x:v>
      </x:c>
      <x:c r="P7" s="120" t="str">
        <x:v>Not recorded</x:v>
      </x:c>
      <x:c r="Q7" s="118" t="str">
        <x:v>Source baseline - details not recorded</x:v>
      </x:c>
      <x:c r="R7" s="118" t="str">
        <x:v>Not recorded</x:v>
      </x:c>
      <x:c r="S7" s="118" t="str">
        <x:v>Not recorded</x:v>
      </x:c>
      <x:c r="T7" s="110" t="str">
        <x:v>Smoke sequence 02/27. Release-gating case selected from the canonical functional suite. Legacy ID: TC_DASH_001. Historical source status retained; detailed execution evidence was not recorded.</x:v>
      </x:c>
    </x:row>
    <x:row r="8">
      <x:c r="A8" s="114" t="str">
        <x:v>RQ-PIM-001</x:v>
      </x:c>
      <x:c r="B8" s="115" t="str">
        <x:v>TC-PIM-001</x:v>
      </x:c>
      <x:c r="C8" s="115" t="str">
        <x:v>PIM</x:v>
      </x:c>
      <x:c r="D8" s="115" t="str">
        <x:v>Employee List</x:v>
      </x:c>
      <x:c r="E8" s="109" t="str">
        <x:v>TS-PIM-001 — Verify PIM module loads Employee List</x:v>
      </x:c>
      <x:c r="F8" s="109" t="str">
        <x:v>Administrator is authenticated and has access to the PIM module.</x:v>
      </x:c>
      <x:c r="G8" s="109" t="str">
        <x:v>1. Navigate to PIM tab.</x:v>
      </x:c>
      <x:c r="H8" s="109" t="str">
        <x:v>N/A</x:v>
      </x:c>
      <x:c r="I8" s="109" t="str">
        <x:v>Employee List grid displayed.</x:v>
      </x:c>
      <x:c r="J8" s="109" t="str">
        <x:v>Not recorded in source workbook (historical status: Pass).</x:v>
      </x:c>
      <x:c r="K8" s="118" t="str">
        <x:v>High</x:v>
      </x:c>
      <x:c r="L8" s="118" t="str">
        <x:v>High</x:v>
      </x:c>
      <x:c r="M8" s="118" t="str">
        <x:v>UI / Navigation</x:v>
      </x:c>
      <x:c r="N8" s="118" t="str">
        <x:v>Pass</x:v>
      </x:c>
      <x:c r="O8" s="118" t="str">
        <x:v>Not recorded</x:v>
      </x:c>
      <x:c r="P8" s="120" t="str">
        <x:v>Not recorded</x:v>
      </x:c>
      <x:c r="Q8" s="118" t="str">
        <x:v>Source baseline - details not recorded</x:v>
      </x:c>
      <x:c r="R8" s="118" t="str">
        <x:v>Not recorded</x:v>
      </x:c>
      <x:c r="S8" s="118" t="str">
        <x:v>Not recorded</x:v>
      </x:c>
      <x:c r="T8" s="110" t="str">
        <x:v>Smoke sequence 03/27. Release-gating case selected from the canonical functional suite. Legacy ID: TC_PIM_001. Historical source status retained; detailed execution evidence was not recorded.</x:v>
      </x:c>
    </x:row>
    <x:row r="9">
      <x:c r="A9" s="114" t="str">
        <x:v>RQ-PIM-002</x:v>
      </x:c>
      <x:c r="B9" s="115" t="str">
        <x:v>TC-PIM-002</x:v>
      </x:c>
      <x:c r="C9" s="115" t="str">
        <x:v>PIM</x:v>
      </x:c>
      <x:c r="D9" s="115" t="str">
        <x:v>Employee Creation</x:v>
      </x:c>
      <x:c r="E9" s="109" t="str">
        <x:v>TS-PIM-002 — Verify adding new employee with mandatory fields only</x:v>
      </x:c>
      <x:c r="F9" s="109" t="str">
        <x:v>Administrator is authenticated and has access to the PIM module.</x:v>
      </x:c>
      <x:c r="G9" s="109" t="str">
        <x:v>1. Click Add.
2. Enter First/Last Name.
3. Click Save.</x:v>
      </x:c>
      <x:c r="H9" s="109" t="str">
        <x:v>John/Doe</x:v>
      </x:c>
      <x:c r="I9" s="109" t="str">
        <x:v>New employee added, Employee ID auto-generated.</x:v>
      </x:c>
      <x:c r="J9" s="109" t="str">
        <x:v>Not recorded in source workbook (historical status: Pass).</x:v>
      </x:c>
      <x:c r="K9" s="118" t="str">
        <x:v>High</x:v>
      </x:c>
      <x:c r="L9" s="118" t="str">
        <x:v>High</x:v>
      </x:c>
      <x:c r="M9" s="118" t="str">
        <x:v>Functional - Positive</x:v>
      </x:c>
      <x:c r="N9" s="118" t="str">
        <x:v>Pass</x:v>
      </x:c>
      <x:c r="O9" s="118" t="str">
        <x:v>Not recorded</x:v>
      </x:c>
      <x:c r="P9" s="120" t="str">
        <x:v>Not recorded</x:v>
      </x:c>
      <x:c r="Q9" s="118" t="str">
        <x:v>Source baseline - details not recorded</x:v>
      </x:c>
      <x:c r="R9" s="118" t="str">
        <x:v>Not recorded</x:v>
      </x:c>
      <x:c r="S9" s="118" t="str">
        <x:v>Not recorded</x:v>
      </x:c>
      <x:c r="T9" s="110" t="str">
        <x:v>Smoke sequence 04/27. Release-gating case selected from the canonical functional suite. Legacy ID: TC_PIM_002. Historical source status retained; detailed execution evidence was not recorded.</x:v>
      </x:c>
    </x:row>
    <x:row r="10">
      <x:c r="A10" s="114" t="str">
        <x:v>RQ-PIM-005</x:v>
      </x:c>
      <x:c r="B10" s="115" t="str">
        <x:v>TC-PIM-005</x:v>
      </x:c>
      <x:c r="C10" s="115" t="str">
        <x:v>PIM</x:v>
      </x:c>
      <x:c r="D10" s="115" t="str">
        <x:v>Employee Login Details</x:v>
      </x:c>
      <x:c r="E10" s="109" t="str">
        <x:v>TS-PIM-005 — Verify creating login details for an employee</x:v>
      </x:c>
      <x:c r="F10" s="109" t="str">
        <x:v>Administrator is authenticated; PIM &gt; Add Employee is accessible; unique ESS username/password test data is available.</x:v>
      </x:c>
      <x:c r="G10" s="109" t="str">
        <x:v>1. Add employee.
2. Enable Create Login Details toggle.
3. Enter username/password.
4. Save.</x:v>
      </x:c>
      <x:c r="H10" s="109" t="str">
        <x:v>Valid credentials</x:v>
      </x:c>
      <x:c r="I10" s="109" t="str">
        <x:v>Employee created with ESS login access.</x:v>
      </x:c>
      <x:c r="J10" s="109" t="str">
        <x:v>Not recorded in source workbook (historical status: Pass).</x:v>
      </x:c>
      <x:c r="K10" s="118" t="str">
        <x:v>High</x:v>
      </x:c>
      <x:c r="L10" s="118" t="str">
        <x:v>High</x:v>
      </x:c>
      <x:c r="M10" s="118" t="str">
        <x:v>Functional - Positive</x:v>
      </x:c>
      <x:c r="N10" s="118" t="str">
        <x:v>Pass</x:v>
      </x:c>
      <x:c r="O10" s="118" t="str">
        <x:v>Not recorded</x:v>
      </x:c>
      <x:c r="P10" s="120" t="str">
        <x:v>Not recorded</x:v>
      </x:c>
      <x:c r="Q10" s="118" t="str">
        <x:v>Source baseline - details not recorded</x:v>
      </x:c>
      <x:c r="R10" s="118" t="str">
        <x:v>Not recorded</x:v>
      </x:c>
      <x:c r="S10" s="118" t="str">
        <x:v>Not recorded</x:v>
      </x:c>
      <x:c r="T10" s="110" t="str">
        <x:v>Smoke sequence 05/27. Release-gating case selected from the canonical functional suite. Legacy ID: TC_PIM_005. Historical source status retained; detailed execution evidence was not recorded.</x:v>
      </x:c>
    </x:row>
    <x:row r="11">
      <x:c r="A11" s="114" t="str">
        <x:v>RQ-PIM-013</x:v>
      </x:c>
      <x:c r="B11" s="115" t="str">
        <x:v>TC-PIM-013</x:v>
      </x:c>
      <x:c r="C11" s="115" t="str">
        <x:v>PIM</x:v>
      </x:c>
      <x:c r="D11" s="115" t="str">
        <x:v>Employee Search by Name</x:v>
      </x:c>
      <x:c r="E11" s="109" t="str">
        <x:v>TS-PIM-013 — Verify searching employee by Employee Name</x:v>
      </x:c>
      <x:c r="F11" s="109" t="str">
        <x:v>Administrator is authenticated; an employee with a known searchable name exists.</x:v>
      </x:c>
      <x:c r="G11" s="109" t="str">
        <x:v>1. Enter name in search filter.
2. Click Search.</x:v>
      </x:c>
      <x:c r="H11" s="109" t="str">
        <x:v>John</x:v>
      </x:c>
      <x:c r="I11" s="109" t="str">
        <x:v>Matching employee(s) displayed in grid.</x:v>
      </x:c>
      <x:c r="J11" s="109" t="str">
        <x:v>Not recorded in source workbook (historical status: Pass).</x:v>
      </x:c>
      <x:c r="K11" s="118" t="str">
        <x:v>Medium</x:v>
      </x:c>
      <x:c r="L11" s="118" t="str">
        <x:v>Medium</x:v>
      </x:c>
      <x:c r="M11" s="118" t="str">
        <x:v>Functional - Positive</x:v>
      </x:c>
      <x:c r="N11" s="118" t="str">
        <x:v>Pass</x:v>
      </x:c>
      <x:c r="O11" s="118" t="str">
        <x:v>Not recorded</x:v>
      </x:c>
      <x:c r="P11" s="120" t="str">
        <x:v>Not recorded</x:v>
      </x:c>
      <x:c r="Q11" s="118" t="str">
        <x:v>Source baseline - details not recorded</x:v>
      </x:c>
      <x:c r="R11" s="118" t="str">
        <x:v>Not recorded</x:v>
      </x:c>
      <x:c r="S11" s="118" t="str">
        <x:v>Not recorded</x:v>
      </x:c>
      <x:c r="T11" s="110" t="str">
        <x:v>Smoke sequence 06/27. Release-gating case selected from the canonical functional suite. Legacy ID: TC_PIM_013. Historical source status retained; detailed execution evidence was not recorded.</x:v>
      </x:c>
    </x:row>
    <x:row r="12">
      <x:c r="A12" s="114" t="str">
        <x:v>RQ-PIM-006</x:v>
      </x:c>
      <x:c r="B12" s="115" t="str">
        <x:v>TC-PIM-006</x:v>
      </x:c>
      <x:c r="C12" s="115" t="str">
        <x:v>PIM</x:v>
      </x:c>
      <x:c r="D12" s="115" t="str">
        <x:v>Personal Details</x:v>
      </x:c>
      <x:c r="E12" s="109" t="str">
        <x:v>TS-PIM-006 — Verify editing Personal Details tab of employee</x:v>
      </x:c>
      <x:c r="F12" s="109" t="str">
        <x:v>Administrator is authenticated; an employee record exists and is editable.</x:v>
      </x:c>
      <x:c r="G12" s="109" t="str">
        <x:v>1. Open employee profile.
2. Edit Personal Details.
3. Save.</x:v>
      </x:c>
      <x:c r="H12" s="109" t="str">
        <x:v>Updated DOB, Nationality</x:v>
      </x:c>
      <x:c r="I12" s="109" t="str">
        <x:v>Changes saved and reflected on refresh.</x:v>
      </x:c>
      <x:c r="J12" s="109" t="str">
        <x:v>Not recorded in source workbook (historical status: Pass).</x:v>
      </x:c>
      <x:c r="K12" s="118" t="str">
        <x:v>High</x:v>
      </x:c>
      <x:c r="L12" s="118" t="str">
        <x:v>High</x:v>
      </x:c>
      <x:c r="M12" s="118" t="str">
        <x:v>Functional - Positive</x:v>
      </x:c>
      <x:c r="N12" s="118" t="str">
        <x:v>Pass</x:v>
      </x:c>
      <x:c r="O12" s="118" t="str">
        <x:v>Not recorded</x:v>
      </x:c>
      <x:c r="P12" s="120" t="str">
        <x:v>Not recorded</x:v>
      </x:c>
      <x:c r="Q12" s="118" t="str">
        <x:v>Source baseline - details not recorded</x:v>
      </x:c>
      <x:c r="R12" s="118" t="str">
        <x:v>Not recorded</x:v>
      </x:c>
      <x:c r="S12" s="118" t="str">
        <x:v>Not recorded</x:v>
      </x:c>
      <x:c r="T12" s="110" t="str">
        <x:v>Smoke sequence 07/27. Release-gating case selected from the canonical functional suite. Legacy ID: TC_PIM_006. Historical source status retained; detailed execution evidence was not recorded.</x:v>
      </x:c>
    </x:row>
    <x:row r="13">
      <x:c r="A13" s="114" t="str">
        <x:v>RQ-ADM-001</x:v>
      </x:c>
      <x:c r="B13" s="115" t="str">
        <x:v>TC-ADM-001</x:v>
      </x:c>
      <x:c r="C13" s="115" t="str">
        <x:v>Admin</x:v>
      </x:c>
      <x:c r="D13" s="115" t="str">
        <x:v>System Users</x:v>
      </x:c>
      <x:c r="E13" s="109" t="str">
        <x:v>TS-ADM-001 — Verify Admin module page loads with System Users list</x:v>
      </x:c>
      <x:c r="F13" s="109" t="str">
        <x:v>Administrator is authenticated and has access to the Admin module.</x:v>
      </x:c>
      <x:c r="G13" s="109" t="str">
        <x:v>1. Navigate to Admin tab.</x:v>
      </x:c>
      <x:c r="H13" s="109" t="str">
        <x:v>N/A</x:v>
      </x:c>
      <x:c r="I13" s="109" t="str">
        <x:v>System Users grid displayed with existing users.</x:v>
      </x:c>
      <x:c r="J13" s="109" t="str">
        <x:v>Not recorded in source workbook (historical status: Pass).</x:v>
      </x:c>
      <x:c r="K13" s="118" t="str">
        <x:v>High</x:v>
      </x:c>
      <x:c r="L13" s="118" t="str">
        <x:v>High</x:v>
      </x:c>
      <x:c r="M13" s="118" t="str">
        <x:v>UI / Navigation</x:v>
      </x:c>
      <x:c r="N13" s="118" t="str">
        <x:v>Pass</x:v>
      </x:c>
      <x:c r="O13" s="118" t="str">
        <x:v>Not recorded</x:v>
      </x:c>
      <x:c r="P13" s="120" t="str">
        <x:v>Not recorded</x:v>
      </x:c>
      <x:c r="Q13" s="118" t="str">
        <x:v>Source baseline - details not recorded</x:v>
      </x:c>
      <x:c r="R13" s="118" t="str">
        <x:v>Not recorded</x:v>
      </x:c>
      <x:c r="S13" s="118" t="str">
        <x:v>Not recorded</x:v>
      </x:c>
      <x:c r="T13" s="110" t="str">
        <x:v>Smoke sequence 08/27. Release-gating case selected from the canonical functional suite. Legacy ID: TC_ADM_001. Historical source status retained; detailed execution evidence was not recorded.</x:v>
      </x:c>
    </x:row>
    <x:row r="14">
      <x:c r="A14" s="114" t="str">
        <x:v>RQ-ADM-002</x:v>
      </x:c>
      <x:c r="B14" s="115" t="str">
        <x:v>TC-ADM-002</x:v>
      </x:c>
      <x:c r="C14" s="115" t="str">
        <x:v>Admin</x:v>
      </x:c>
      <x:c r="D14" s="115" t="str">
        <x:v>System User Creation</x:v>
      </x:c>
      <x:c r="E14" s="109" t="str">
        <x:v>TS-ADM-002 — Verify adding a new system user with valid data</x:v>
      </x:c>
      <x:c r="F14" s="109" t="str">
        <x:v>Administrator is authenticated; Admin &gt; System Users is accessible; an eligible employee exists; a unique test username is available.</x:v>
      </x:c>
      <x:c r="G14" s="109" t="str">
        <x:v>1. Click Add.
2. Select User Role, Employee Name, Status.
3. Enter Username &amp; Password.
4. Click Save.</x:v>
      </x:c>
      <x:c r="H14" s="109" t="str">
        <x:v>Role: ESS, valid employee, unique username</x:v>
      </x:c>
      <x:c r="I14" s="109" t="str">
        <x:v>New user created and listed in System Users grid.</x:v>
      </x:c>
      <x:c r="J14" s="109" t="str">
        <x:v>Not recorded in source workbook (historical status: Pass).</x:v>
      </x:c>
      <x:c r="K14" s="118" t="str">
        <x:v>High</x:v>
      </x:c>
      <x:c r="L14" s="118" t="str">
        <x:v>High</x:v>
      </x:c>
      <x:c r="M14" s="118" t="str">
        <x:v>Functional - Positive</x:v>
      </x:c>
      <x:c r="N14" s="118" t="str">
        <x:v>Pass</x:v>
      </x:c>
      <x:c r="O14" s="118" t="str">
        <x:v>Not recorded</x:v>
      </x:c>
      <x:c r="P14" s="120" t="str">
        <x:v>Not recorded</x:v>
      </x:c>
      <x:c r="Q14" s="118" t="str">
        <x:v>Source baseline - details not recorded</x:v>
      </x:c>
      <x:c r="R14" s="118" t="str">
        <x:v>Not recorded</x:v>
      </x:c>
      <x:c r="S14" s="118" t="str">
        <x:v>Not recorded</x:v>
      </x:c>
      <x:c r="T14" s="110" t="str">
        <x:v>Smoke sequence 09/27. Release-gating case selected from the canonical functional suite. Legacy ID: TC_ADM_002. Historical source status retained; detailed execution evidence was not recorded.</x:v>
      </x:c>
    </x:row>
    <x:row r="15">
      <x:c r="A15" s="114" t="str">
        <x:v>RQ-ADM-008</x:v>
      </x:c>
      <x:c r="B15" s="115" t="str">
        <x:v>TC-ADM-008</x:v>
      </x:c>
      <x:c r="C15" s="115" t="str">
        <x:v>Admin</x:v>
      </x:c>
      <x:c r="D15" s="115" t="str">
        <x:v>User Search</x:v>
      </x:c>
      <x:c r="E15" s="109" t="str">
        <x:v>TS-ADM-008 — Verify search/filter system users by Username</x:v>
      </x:c>
      <x:c r="F15" s="109" t="str">
        <x:v>Administrator is authenticated; at least one known system user exists.</x:v>
      </x:c>
      <x:c r="G15" s="109" t="str">
        <x:v>1. Enter username in search filter.
2. Click Search.</x:v>
      </x:c>
      <x:c r="H15" s="109" t="str">
        <x:v>Admin</x:v>
      </x:c>
      <x:c r="I15" s="109" t="str">
        <x:v>Only matching user(s) displayed.</x:v>
      </x:c>
      <x:c r="J15" s="109" t="str">
        <x:v>Not recorded in source workbook (historical status: Pass).</x:v>
      </x:c>
      <x:c r="K15" s="118" t="str">
        <x:v>Medium</x:v>
      </x:c>
      <x:c r="L15" s="118" t="str">
        <x:v>Medium</x:v>
      </x:c>
      <x:c r="M15" s="118" t="str">
        <x:v>Functional - Positive</x:v>
      </x:c>
      <x:c r="N15" s="118" t="str">
        <x:v>Pass</x:v>
      </x:c>
      <x:c r="O15" s="118" t="str">
        <x:v>Not recorded</x:v>
      </x:c>
      <x:c r="P15" s="120" t="str">
        <x:v>Not recorded</x:v>
      </x:c>
      <x:c r="Q15" s="118" t="str">
        <x:v>Source baseline - details not recorded</x:v>
      </x:c>
      <x:c r="R15" s="118" t="str">
        <x:v>Not recorded</x:v>
      </x:c>
      <x:c r="S15" s="118" t="str">
        <x:v>Not recorded</x:v>
      </x:c>
      <x:c r="T15" s="110" t="str">
        <x:v>Smoke sequence 10/27. Release-gating case selected from the canonical functional suite. Legacy ID: TC_ADM_008. Historical source status retained; detailed execution evidence was not recorded.</x:v>
      </x:c>
    </x:row>
    <x:row r="16">
      <x:c r="A16" s="114" t="str">
        <x:v>RQ-LEV-001</x:v>
      </x:c>
      <x:c r="B16" s="115" t="str">
        <x:v>TC-LEV-001</x:v>
      </x:c>
      <x:c r="C16" s="115" t="str">
        <x:v>Leave</x:v>
      </x:c>
      <x:c r="D16" s="115" t="str">
        <x:v>Leave Navigation</x:v>
      </x:c>
      <x:c r="E16" s="109" t="str">
        <x:v>TS-LEV-001 — Verify Leave module loads with sub-menus</x:v>
      </x:c>
      <x:c r="F16" s="109" t="str">
        <x:v>Authenticated user has access to the Leave module.</x:v>
      </x:c>
      <x:c r="G16" s="109" t="str">
        <x:v>1. Navigate to Leave tab.</x:v>
      </x:c>
      <x:c r="H16" s="109" t="str">
        <x:v>N/A</x:v>
      </x:c>
      <x:c r="I16" s="109" t="str">
        <x:v>Apply, My Leave, Employee List, Leave List, Entitlements, Reports visible.</x:v>
      </x:c>
      <x:c r="J16" s="109" t="str">
        <x:v>Not recorded in source workbook (historical status: Pass).</x:v>
      </x:c>
      <x:c r="K16" s="118" t="str">
        <x:v>High</x:v>
      </x:c>
      <x:c r="L16" s="118" t="str">
        <x:v>High</x:v>
      </x:c>
      <x:c r="M16" s="118" t="str">
        <x:v>UI / Navigation</x:v>
      </x:c>
      <x:c r="N16" s="118" t="str">
        <x:v>Pass</x:v>
      </x:c>
      <x:c r="O16" s="118" t="str">
        <x:v>Not recorded</x:v>
      </x:c>
      <x:c r="P16" s="120" t="str">
        <x:v>Not recorded</x:v>
      </x:c>
      <x:c r="Q16" s="118" t="str">
        <x:v>Source baseline - details not recorded</x:v>
      </x:c>
      <x:c r="R16" s="118" t="str">
        <x:v>Not recorded</x:v>
      </x:c>
      <x:c r="S16" s="118" t="str">
        <x:v>Not recorded</x:v>
      </x:c>
      <x:c r="T16" s="110" t="str">
        <x:v>Smoke sequence 11/27. Release-gating case selected from the canonical functional suite. Legacy ID: TC_LV_001. Historical source status retained; detailed execution evidence was not recorded.</x:v>
      </x:c>
    </x:row>
    <x:row r="17">
      <x:c r="A17" s="114" t="str">
        <x:v>RQ-LEV-002</x:v>
      </x:c>
      <x:c r="B17" s="115" t="str">
        <x:v>TC-LEV-002</x:v>
      </x:c>
      <x:c r="C17" s="115" t="str">
        <x:v>Leave</x:v>
      </x:c>
      <x:c r="D17" s="115" t="str">
        <x:v>Leave Application</x:v>
      </x:c>
      <x:c r="E17" s="109" t="str">
        <x:v>TS-LEV-002 — Verify applying for leave with valid dates</x:v>
      </x:c>
      <x:c r="F17" s="109" t="str">
        <x:v>Authenticated employee has Leave access; a valid leave type/entitlement and valid future dates are available.</x:v>
      </x:c>
      <x:c r="G17" s="109" t="str">
        <x:v>1. Click Apply.
2. Select Leave Type.
3. Select From/To date.
4. Submit.</x:v>
      </x:c>
      <x:c r="H17" s="109" t="str">
        <x:v>Leave Type: Annual, valid future dates</x:v>
      </x:c>
      <x:c r="I17" s="109" t="str">
        <x:v>Leave application submitted successfully.</x:v>
      </x:c>
      <x:c r="J17" s="109" t="str">
        <x:v>Not recorded in source workbook (historical status: Pass).</x:v>
      </x:c>
      <x:c r="K17" s="118" t="str">
        <x:v>High</x:v>
      </x:c>
      <x:c r="L17" s="118" t="str">
        <x:v>High</x:v>
      </x:c>
      <x:c r="M17" s="118" t="str">
        <x:v>Functional - Positive</x:v>
      </x:c>
      <x:c r="N17" s="118" t="str">
        <x:v>Pass</x:v>
      </x:c>
      <x:c r="O17" s="118" t="str">
        <x:v>Not recorded</x:v>
      </x:c>
      <x:c r="P17" s="120" t="str">
        <x:v>Not recorded</x:v>
      </x:c>
      <x:c r="Q17" s="118" t="str">
        <x:v>Source baseline - details not recorded</x:v>
      </x:c>
      <x:c r="R17" s="118" t="str">
        <x:v>Not recorded</x:v>
      </x:c>
      <x:c r="S17" s="118" t="str">
        <x:v>Not recorded</x:v>
      </x:c>
      <x:c r="T17" s="110" t="str">
        <x:v>Smoke sequence 12/27. Release-gating case selected from the canonical functional suite. Legacy ID: TC_LV_002. Historical source status retained; detailed execution evidence was not recorded.</x:v>
      </x:c>
    </x:row>
    <x:row r="18">
      <x:c r="A18" s="114" t="str">
        <x:v>RQ-LEV-005</x:v>
      </x:c>
      <x:c r="B18" s="115" t="str">
        <x:v>TC-LEV-005</x:v>
      </x:c>
      <x:c r="C18" s="115" t="str">
        <x:v>Leave</x:v>
      </x:c>
      <x:c r="D18" s="115" t="str">
        <x:v>Leave List</x:v>
      </x:c>
      <x:c r="E18" s="109" t="str">
        <x:v>TS-LEV-005 — Verify Leave List displays submitted leave requests</x:v>
      </x:c>
      <x:c r="F18" s="109" t="str">
        <x:v>Authenticated user has Leave List access and submitted leave records exist.</x:v>
      </x:c>
      <x:c r="G18" s="109" t="str">
        <x:v>1. Navigate to Leave List.
2. Apply filters.</x:v>
      </x:c>
      <x:c r="H18" s="109" t="str">
        <x:v>N/A</x:v>
      </x:c>
      <x:c r="I18" s="109" t="str">
        <x:v>Matching leave requests displayed with status.</x:v>
      </x:c>
      <x:c r="J18" s="109" t="str">
        <x:v>Not recorded in source workbook (historical status: Pass).</x:v>
      </x:c>
      <x:c r="K18" s="118" t="str">
        <x:v>Medium</x:v>
      </x:c>
      <x:c r="L18" s="118" t="str">
        <x:v>Medium</x:v>
      </x:c>
      <x:c r="M18" s="118" t="str">
        <x:v>Functional - Positive</x:v>
      </x:c>
      <x:c r="N18" s="118" t="str">
        <x:v>Pass</x:v>
      </x:c>
      <x:c r="O18" s="118" t="str">
        <x:v>Not recorded</x:v>
      </x:c>
      <x:c r="P18" s="120" t="str">
        <x:v>Not recorded</x:v>
      </x:c>
      <x:c r="Q18" s="118" t="str">
        <x:v>Source baseline - details not recorded</x:v>
      </x:c>
      <x:c r="R18" s="118" t="str">
        <x:v>Not recorded</x:v>
      </x:c>
      <x:c r="S18" s="118" t="str">
        <x:v>Not recorded</x:v>
      </x:c>
      <x:c r="T18" s="110" t="str">
        <x:v>Smoke sequence 13/27. Release-gating case selected from the canonical functional suite. Legacy ID: TC_LV_005. Historical source status retained; detailed execution evidence was not recorded.</x:v>
      </x:c>
    </x:row>
    <x:row r="19">
      <x:c r="A19" s="114" t="str">
        <x:v>RQ-LEV-006</x:v>
      </x:c>
      <x:c r="B19" s="115" t="str">
        <x:v>TC-LEV-006</x:v>
      </x:c>
      <x:c r="C19" s="115" t="str">
        <x:v>Leave</x:v>
      </x:c>
      <x:c r="D19" s="115" t="str">
        <x:v>Leave Approval</x:v>
      </x:c>
      <x:c r="E19" s="109" t="str">
        <x:v>TS-LEV-006 — Verify Admin can approve a pending leave request</x:v>
      </x:c>
      <x:c r="F19" s="109" t="str">
        <x:v>Administrator is authenticated; a pending leave request exists and is eligible for approval.</x:v>
      </x:c>
      <x:c r="G19" s="109" t="str">
        <x:v>1. Navigate to Leave List.
2. Select pending leave.
3. Change status to Approved.</x:v>
      </x:c>
      <x:c r="H19" s="109" t="str">
        <x:v>Pending leave record</x:v>
      </x:c>
      <x:c r="I19" s="109" t="str">
        <x:v>Status updated to "Approved".</x:v>
      </x:c>
      <x:c r="J19" s="109" t="str">
        <x:v>Not recorded in source workbook (historical status: Pass).</x:v>
      </x:c>
      <x:c r="K19" s="118" t="str">
        <x:v>High</x:v>
      </x:c>
      <x:c r="L19" s="118" t="str">
        <x:v>High</x:v>
      </x:c>
      <x:c r="M19" s="118" t="str">
        <x:v>Functional - Positive</x:v>
      </x:c>
      <x:c r="N19" s="118" t="str">
        <x:v>Pass</x:v>
      </x:c>
      <x:c r="O19" s="118" t="str">
        <x:v>Not recorded</x:v>
      </x:c>
      <x:c r="P19" s="120" t="str">
        <x:v>Not recorded</x:v>
      </x:c>
      <x:c r="Q19" s="118" t="str">
        <x:v>Source baseline - details not recorded</x:v>
      </x:c>
      <x:c r="R19" s="118" t="str">
        <x:v>Not recorded</x:v>
      </x:c>
      <x:c r="S19" s="118" t="str">
        <x:v>Not recorded</x:v>
      </x:c>
      <x:c r="T19" s="110" t="str">
        <x:v>Smoke sequence 14/27. Release-gating case selected from the canonical functional suite. Legacy ID: TC_LV_006. Historical source status retained; detailed execution evidence was not recorded.</x:v>
      </x:c>
    </x:row>
    <x:row r="20">
      <x:c r="A20" s="114" t="str">
        <x:v>RQ-TIM-001</x:v>
      </x:c>
      <x:c r="B20" s="115" t="str">
        <x:v>TC-TIM-001</x:v>
      </x:c>
      <x:c r="C20" s="115" t="str">
        <x:v>Time</x:v>
      </x:c>
      <x:c r="D20" s="115" t="str">
        <x:v>Timesheets</x:v>
      </x:c>
      <x:c r="E20" s="109" t="str">
        <x:v>TS-TIM-001 — Verify Time module loads Timesheets page</x:v>
      </x:c>
      <x:c r="F20" s="109" t="str">
        <x:v>Authenticated user has access to the Time module.</x:v>
      </x:c>
      <x:c r="G20" s="109" t="str">
        <x:v>1. Navigate to Time tab.</x:v>
      </x:c>
      <x:c r="H20" s="109" t="str">
        <x:v>N/A</x:v>
      </x:c>
      <x:c r="I20" s="109" t="str">
        <x:v>Timesheet view for current period displayed.</x:v>
      </x:c>
      <x:c r="J20" s="109" t="str">
        <x:v>Not recorded in source workbook (historical status: Pass).</x:v>
      </x:c>
      <x:c r="K20" s="118" t="str">
        <x:v>High</x:v>
      </x:c>
      <x:c r="L20" s="118" t="str">
        <x:v>High</x:v>
      </x:c>
      <x:c r="M20" s="118" t="str">
        <x:v>UI / Navigation</x:v>
      </x:c>
      <x:c r="N20" s="118" t="str">
        <x:v>Pass</x:v>
      </x:c>
      <x:c r="O20" s="118" t="str">
        <x:v>Not recorded</x:v>
      </x:c>
      <x:c r="P20" s="120" t="str">
        <x:v>Not recorded</x:v>
      </x:c>
      <x:c r="Q20" s="118" t="str">
        <x:v>Source baseline - details not recorded</x:v>
      </x:c>
      <x:c r="R20" s="118" t="str">
        <x:v>Not recorded</x:v>
      </x:c>
      <x:c r="S20" s="118" t="str">
        <x:v>Not recorded</x:v>
      </x:c>
      <x:c r="T20" s="110" t="str">
        <x:v>Smoke sequence 15/27. Release-gating case selected from the canonical functional suite. Legacy ID: TC_TM_001. Historical source status retained; detailed execution evidence was not recorded.</x:v>
      </x:c>
    </x:row>
    <x:row r="21">
      <x:c r="A21" s="114" t="str">
        <x:v>RQ-TIM-002</x:v>
      </x:c>
      <x:c r="B21" s="115" t="str">
        <x:v>TC-TIM-002</x:v>
      </x:c>
      <x:c r="C21" s="115" t="str">
        <x:v>Time</x:v>
      </x:c>
      <x:c r="D21" s="115" t="str">
        <x:v>Timesheet Entry</x:v>
      </x:c>
      <x:c r="E21" s="109" t="str">
        <x:v>TS-TIM-002 — Verify creating a new timesheet entry</x:v>
      </x:c>
      <x:c r="F21" s="109" t="str">
        <x:v>Authenticated user has Time access; an active project/activity is available for timesheet entry.</x:v>
      </x:c>
      <x:c r="G21" s="109" t="str">
        <x:v>1. Click Timesheets.
2. Add project/activity.
3. Enter hours.
4. Save.</x:v>
      </x:c>
      <x:c r="H21" s="109" t="str">
        <x:v>Project X, 8 hrs</x:v>
      </x:c>
      <x:c r="I21" s="109" t="str">
        <x:v>Entry saved in timesheet grid.</x:v>
      </x:c>
      <x:c r="J21" s="109" t="str">
        <x:v>Not recorded in source workbook (historical status: Pass).</x:v>
      </x:c>
      <x:c r="K21" s="118" t="str">
        <x:v>High</x:v>
      </x:c>
      <x:c r="L21" s="118" t="str">
        <x:v>High</x:v>
      </x:c>
      <x:c r="M21" s="118" t="str">
        <x:v>Functional - Positive</x:v>
      </x:c>
      <x:c r="N21" s="118" t="str">
        <x:v>Pass</x:v>
      </x:c>
      <x:c r="O21" s="118" t="str">
        <x:v>Not recorded</x:v>
      </x:c>
      <x:c r="P21" s="120" t="str">
        <x:v>Not recorded</x:v>
      </x:c>
      <x:c r="Q21" s="118" t="str">
        <x:v>Source baseline - details not recorded</x:v>
      </x:c>
      <x:c r="R21" s="118" t="str">
        <x:v>Not recorded</x:v>
      </x:c>
      <x:c r="S21" s="118" t="str">
        <x:v>Not recorded</x:v>
      </x:c>
      <x:c r="T21" s="110" t="str">
        <x:v>Smoke sequence 16/27. Release-gating case selected from the canonical functional suite. Legacy ID: TC_TM_002. Historical source status retained; detailed execution evidence was not recorded.</x:v>
      </x:c>
    </x:row>
    <x:row r="22">
      <x:c r="A22" s="114" t="str">
        <x:v>RQ-TIM-003</x:v>
      </x:c>
      <x:c r="B22" s="115" t="str">
        <x:v>TC-TIM-003</x:v>
      </x:c>
      <x:c r="C22" s="115" t="str">
        <x:v>Time</x:v>
      </x:c>
      <x:c r="D22" s="115" t="str">
        <x:v>Timesheet Submission</x:v>
      </x:c>
      <x:c r="E22" s="109" t="str">
        <x:v>TS-TIM-003 — Verify submitting a timesheet for approval</x:v>
      </x:c>
      <x:c r="F22" s="109" t="str">
        <x:v>Authenticated user has a complete saved timesheet eligible for submission.</x:v>
      </x:c>
      <x:c r="G22" s="109" t="str">
        <x:v>1. Fill timesheet.
2. Click Submit.</x:v>
      </x:c>
      <x:c r="H22" s="109" t="str">
        <x:v>Complete week's hours</x:v>
      </x:c>
      <x:c r="I22" s="109" t="str">
        <x:v>Timesheet status changes to "Submitted".</x:v>
      </x:c>
      <x:c r="J22" s="109" t="str">
        <x:v>Not recorded in source workbook (historical status: Pass).</x:v>
      </x:c>
      <x:c r="K22" s="118" t="str">
        <x:v>High</x:v>
      </x:c>
      <x:c r="L22" s="118" t="str">
        <x:v>High</x:v>
      </x:c>
      <x:c r="M22" s="118" t="str">
        <x:v>Functional - Positive</x:v>
      </x:c>
      <x:c r="N22" s="118" t="str">
        <x:v>Pass</x:v>
      </x:c>
      <x:c r="O22" s="118" t="str">
        <x:v>Not recorded</x:v>
      </x:c>
      <x:c r="P22" s="120" t="str">
        <x:v>Not recorded</x:v>
      </x:c>
      <x:c r="Q22" s="118" t="str">
        <x:v>Source baseline - details not recorded</x:v>
      </x:c>
      <x:c r="R22" s="118" t="str">
        <x:v>Not recorded</x:v>
      </x:c>
      <x:c r="S22" s="118" t="str">
        <x:v>Not recorded</x:v>
      </x:c>
      <x:c r="T22" s="110" t="str">
        <x:v>Smoke sequence 17/27. Release-gating case selected from the canonical functional suite. Legacy ID: TC_TM_003. Historical source status retained; detailed execution evidence was not recorded.</x:v>
      </x:c>
    </x:row>
    <x:row r="23">
      <x:c r="A23" s="114" t="str">
        <x:v>RQ-TIM-004</x:v>
      </x:c>
      <x:c r="B23" s="115" t="str">
        <x:v>TC-TIM-004</x:v>
      </x:c>
      <x:c r="C23" s="115" t="str">
        <x:v>Time</x:v>
      </x:c>
      <x:c r="D23" s="115" t="str">
        <x:v>Timesheet Approval</x:v>
      </x:c>
      <x:c r="E23" s="109" t="str">
        <x:v>TS-TIM-004 — Verify Admin can approve submitted timesheet</x:v>
      </x:c>
      <x:c r="F23" s="109" t="str">
        <x:v>Administrator is authenticated; a submitted timesheet exists and is eligible for approval.</x:v>
      </x:c>
      <x:c r="G23" s="109" t="str">
        <x:v>1. Navigate to submitted timesheet.
2. Click Approve.</x:v>
      </x:c>
      <x:c r="H23" s="109" t="str">
        <x:v>Submitted timesheet</x:v>
      </x:c>
      <x:c r="I23" s="109" t="str">
        <x:v>Status changes to "Approved".</x:v>
      </x:c>
      <x:c r="J23" s="109" t="str">
        <x:v>Not recorded in source workbook (historical status: Pass).</x:v>
      </x:c>
      <x:c r="K23" s="118" t="str">
        <x:v>High</x:v>
      </x:c>
      <x:c r="L23" s="118" t="str">
        <x:v>High</x:v>
      </x:c>
      <x:c r="M23" s="118" t="str">
        <x:v>Functional - Positive</x:v>
      </x:c>
      <x:c r="N23" s="118" t="str">
        <x:v>Pass</x:v>
      </x:c>
      <x:c r="O23" s="118" t="str">
        <x:v>Not recorded</x:v>
      </x:c>
      <x:c r="P23" s="120" t="str">
        <x:v>Not recorded</x:v>
      </x:c>
      <x:c r="Q23" s="118" t="str">
        <x:v>Source baseline - details not recorded</x:v>
      </x:c>
      <x:c r="R23" s="118" t="str">
        <x:v>Not recorded</x:v>
      </x:c>
      <x:c r="S23" s="118" t="str">
        <x:v>Not recorded</x:v>
      </x:c>
      <x:c r="T23" s="110" t="str">
        <x:v>Smoke sequence 18/27. Release-gating case selected from the canonical functional suite. Legacy ID: TC_TM_004. Historical source status retained; detailed execution evidence was not recorded.</x:v>
      </x:c>
    </x:row>
    <x:row r="24">
      <x:c r="A24" s="114" t="str">
        <x:v>RQ-REC-001</x:v>
      </x:c>
      <x:c r="B24" s="115" t="str">
        <x:v>TC-REC-001</x:v>
      </x:c>
      <x:c r="C24" s="115" t="str">
        <x:v>Recruitment</x:v>
      </x:c>
      <x:c r="D24" s="115" t="str">
        <x:v>Candidates List</x:v>
      </x:c>
      <x:c r="E24" s="109" t="str">
        <x:v>TS-REC-001 — Verify Recruitment module loads Candidates list</x:v>
      </x:c>
      <x:c r="F24" s="109" t="str">
        <x:v>Authenticated user has access to the Recruitment module.</x:v>
      </x:c>
      <x:c r="G24" s="109" t="str">
        <x:v>1. Navigate to Recruitment tab.</x:v>
      </x:c>
      <x:c r="H24" s="109" t="str">
        <x:v>N/A</x:v>
      </x:c>
      <x:c r="I24" s="109" t="str">
        <x:v>Candidate list grid displayed.</x:v>
      </x:c>
      <x:c r="J24" s="109" t="str">
        <x:v>Not recorded in source workbook (historical status: Pass).</x:v>
      </x:c>
      <x:c r="K24" s="118" t="str">
        <x:v>High</x:v>
      </x:c>
      <x:c r="L24" s="118" t="str">
        <x:v>High</x:v>
      </x:c>
      <x:c r="M24" s="118" t="str">
        <x:v>UI / Navigation</x:v>
      </x:c>
      <x:c r="N24" s="118" t="str">
        <x:v>Pass</x:v>
      </x:c>
      <x:c r="O24" s="118" t="str">
        <x:v>Not recorded</x:v>
      </x:c>
      <x:c r="P24" s="120" t="str">
        <x:v>Not recorded</x:v>
      </x:c>
      <x:c r="Q24" s="118" t="str">
        <x:v>Source baseline - details not recorded</x:v>
      </x:c>
      <x:c r="R24" s="118" t="str">
        <x:v>Not recorded</x:v>
      </x:c>
      <x:c r="S24" s="118" t="str">
        <x:v>Not recorded</x:v>
      </x:c>
      <x:c r="T24" s="110" t="str">
        <x:v>Smoke sequence 19/27. Release-gating case selected from the canonical functional suite. Legacy ID: TC_REC_001. Historical source status retained; detailed execution evidence was not recorded.</x:v>
      </x:c>
    </x:row>
    <x:row r="25">
      <x:c r="A25" s="114" t="str">
        <x:v>RQ-REC-006</x:v>
      </x:c>
      <x:c r="B25" s="115" t="str">
        <x:v>TC-REC-006</x:v>
      </x:c>
      <x:c r="C25" s="115" t="str">
        <x:v>Recruitment</x:v>
      </x:c>
      <x:c r="D25" s="115" t="str">
        <x:v>Vacancy Creation</x:v>
      </x:c>
      <x:c r="E25" s="109" t="str">
        <x:v>TS-REC-006 — Verify adding a new Vacancy</x:v>
      </x:c>
      <x:c r="F25" s="109" t="str">
        <x:v>Authorized user is authenticated; Vacancies is accessible; a valid job title and hiring manager exist.</x:v>
      </x:c>
      <x:c r="G25" s="109" t="str">
        <x:v>1. Navigate to Vacancies &gt; Add.
2. Enter Job Title, Hiring Manager.
3. Save.</x:v>
      </x:c>
      <x:c r="H25" s="109" t="str">
        <x:v>Job Title: QA Engineer</x:v>
      </x:c>
      <x:c r="I25" s="109" t="str">
        <x:v>Vacancy created and listed.</x:v>
      </x:c>
      <x:c r="J25" s="109" t="str">
        <x:v>Not recorded in source workbook (historical status: Pass).</x:v>
      </x:c>
      <x:c r="K25" s="118" t="str">
        <x:v>High</x:v>
      </x:c>
      <x:c r="L25" s="118" t="str">
        <x:v>High</x:v>
      </x:c>
      <x:c r="M25" s="118" t="str">
        <x:v>Functional - Positive</x:v>
      </x:c>
      <x:c r="N25" s="118" t="str">
        <x:v>Pass</x:v>
      </x:c>
      <x:c r="O25" s="118" t="str">
        <x:v>Not recorded</x:v>
      </x:c>
      <x:c r="P25" s="120" t="str">
        <x:v>Not recorded</x:v>
      </x:c>
      <x:c r="Q25" s="118" t="str">
        <x:v>Source baseline - details not recorded</x:v>
      </x:c>
      <x:c r="R25" s="118" t="str">
        <x:v>Not recorded</x:v>
      </x:c>
      <x:c r="S25" s="118" t="str">
        <x:v>Not recorded</x:v>
      </x:c>
      <x:c r="T25" s="110" t="str">
        <x:v>Smoke sequence 20/27. Release-gating case selected from the canonical functional suite. Legacy ID: TC_REC_006. Historical source status retained; detailed execution evidence was not recorded.</x:v>
      </x:c>
    </x:row>
    <x:row r="26">
      <x:c r="A26" s="114" t="str">
        <x:v>RQ-REC-002</x:v>
      </x:c>
      <x:c r="B26" s="115" t="str">
        <x:v>TC-REC-002</x:v>
      </x:c>
      <x:c r="C26" s="115" t="str">
        <x:v>Recruitment</x:v>
      </x:c>
      <x:c r="D26" s="115" t="str">
        <x:v>Candidate Creation</x:v>
      </x:c>
      <x:c r="E26" s="109" t="str">
        <x:v>TS-REC-002 — Verify adding a new candidate with valid details</x:v>
      </x:c>
      <x:c r="F26" s="109" t="str">
        <x:v>Authorized user is authenticated; Recruitment &gt; Candidates is accessible; an active vacancy is available.</x:v>
      </x:c>
      <x:c r="G26" s="109" t="str">
        <x:v>1. Click Add.
2. Enter Name, Email, Vacancy.
3. Save.</x:v>
      </x:c>
      <x:c r="H26" s="109" t="str">
        <x:v>John Smith, valid email, vacancy selected</x:v>
      </x:c>
      <x:c r="I26" s="109" t="str">
        <x:v>Candidate added to Candidates list.</x:v>
      </x:c>
      <x:c r="J26" s="109" t="str">
        <x:v>Not recorded in source workbook (historical status: Pass).</x:v>
      </x:c>
      <x:c r="K26" s="118" t="str">
        <x:v>High</x:v>
      </x:c>
      <x:c r="L26" s="118" t="str">
        <x:v>High</x:v>
      </x:c>
      <x:c r="M26" s="118" t="str">
        <x:v>Functional - Positive</x:v>
      </x:c>
      <x:c r="N26" s="118" t="str">
        <x:v>Pass</x:v>
      </x:c>
      <x:c r="O26" s="118" t="str">
        <x:v>Not recorded</x:v>
      </x:c>
      <x:c r="P26" s="120" t="str">
        <x:v>Not recorded</x:v>
      </x:c>
      <x:c r="Q26" s="118" t="str">
        <x:v>Source baseline - details not recorded</x:v>
      </x:c>
      <x:c r="R26" s="118" t="str">
        <x:v>Not recorded</x:v>
      </x:c>
      <x:c r="S26" s="118" t="str">
        <x:v>Not recorded</x:v>
      </x:c>
      <x:c r="T26" s="110" t="str">
        <x:v>Smoke sequence 21/27. Release-gating case selected from the canonical functional suite. Legacy ID: TC_REC_002. Historical source status retained; detailed execution evidence was not recorded.</x:v>
      </x:c>
    </x:row>
    <x:row r="27">
      <x:c r="A27" s="114" t="str">
        <x:v>RQ-REC-007</x:v>
      </x:c>
      <x:c r="B27" s="115" t="str">
        <x:v>TC-REC-007</x:v>
      </x:c>
      <x:c r="C27" s="115" t="str">
        <x:v>Recruitment</x:v>
      </x:c>
      <x:c r="D27" s="115" t="str">
        <x:v>Candidate Workflow</x:v>
      </x:c>
      <x:c r="E27" s="109" t="str">
        <x:v>TS-REC-007 — Verify changing candidate status through recruitment pipeline</x:v>
      </x:c>
      <x:c r="F27" s="109" t="str">
        <x:v>Authorized user is authenticated; a candidate exists in a status that can move to Shortlisted.</x:v>
      </x:c>
      <x:c r="G27" s="109" t="str">
        <x:v>1. Open candidate.
2. Change status.
3. Save.</x:v>
      </x:c>
      <x:c r="H27" s="109" t="str">
        <x:v>Status change to "Shortlisted"</x:v>
      </x:c>
      <x:c r="I27" s="109" t="str">
        <x:v>Status updated and history logged.</x:v>
      </x:c>
      <x:c r="J27" s="109" t="str">
        <x:v>Not recorded in source workbook (historical status: Pass).</x:v>
      </x:c>
      <x:c r="K27" s="118" t="str">
        <x:v>High</x:v>
      </x:c>
      <x:c r="L27" s="118" t="str">
        <x:v>High</x:v>
      </x:c>
      <x:c r="M27" s="118" t="str">
        <x:v>Functional - Positive</x:v>
      </x:c>
      <x:c r="N27" s="118" t="str">
        <x:v>Pass</x:v>
      </x:c>
      <x:c r="O27" s="118" t="str">
        <x:v>Not recorded</x:v>
      </x:c>
      <x:c r="P27" s="120" t="str">
        <x:v>Not recorded</x:v>
      </x:c>
      <x:c r="Q27" s="118" t="str">
        <x:v>Source baseline - details not recorded</x:v>
      </x:c>
      <x:c r="R27" s="118" t="str">
        <x:v>Not recorded</x:v>
      </x:c>
      <x:c r="S27" s="118" t="str">
        <x:v>Not recorded</x:v>
      </x:c>
      <x:c r="T27" s="110" t="str">
        <x:v>Smoke sequence 22/27. Release-gating case selected from the canonical functional suite. Legacy ID: TC_REC_007. Historical source status retained; detailed execution evidence was not recorded.</x:v>
      </x:c>
    </x:row>
    <x:row r="28">
      <x:c r="A28" s="114" t="str">
        <x:v>RQ-REC-008</x:v>
      </x:c>
      <x:c r="B28" s="115" t="str">
        <x:v>TC-REC-008</x:v>
      </x:c>
      <x:c r="C28" s="115" t="str">
        <x:v>Recruitment</x:v>
      </x:c>
      <x:c r="D28" s="115" t="str">
        <x:v>Candidate Search</x:v>
      </x:c>
      <x:c r="E28" s="109" t="str">
        <x:v>TS-REC-008 — Verify search/filter candidates by Vacancy and Status</x:v>
      </x:c>
      <x:c r="F28" s="109" t="str">
        <x:v>Authorized user is authenticated; candidate records exist for the selected vacancy/status filters.</x:v>
      </x:c>
      <x:c r="G28" s="109" t="str">
        <x:v>1. Apply filters.
2. Click Search.</x:v>
      </x:c>
      <x:c r="H28" s="109" t="str">
        <x:v>Vacancy: QA Engineer, Status: Applied</x:v>
      </x:c>
      <x:c r="I28" s="109" t="str">
        <x:v>Matching candidates displayed.</x:v>
      </x:c>
      <x:c r="J28" s="109" t="str">
        <x:v>Not recorded in source workbook (historical status: Pass).</x:v>
      </x:c>
      <x:c r="K28" s="118" t="str">
        <x:v>Medium</x:v>
      </x:c>
      <x:c r="L28" s="118" t="str">
        <x:v>Medium</x:v>
      </x:c>
      <x:c r="M28" s="118" t="str">
        <x:v>Functional - Positive</x:v>
      </x:c>
      <x:c r="N28" s="118" t="str">
        <x:v>Pass</x:v>
      </x:c>
      <x:c r="O28" s="118" t="str">
        <x:v>Not recorded</x:v>
      </x:c>
      <x:c r="P28" s="120" t="str">
        <x:v>Not recorded</x:v>
      </x:c>
      <x:c r="Q28" s="118" t="str">
        <x:v>Source baseline - details not recorded</x:v>
      </x:c>
      <x:c r="R28" s="118" t="str">
        <x:v>Not recorded</x:v>
      </x:c>
      <x:c r="S28" s="118" t="str">
        <x:v>Not recorded</x:v>
      </x:c>
      <x:c r="T28" s="110" t="str">
        <x:v>Smoke sequence 23/27. Release-gating case selected from the canonical functional suite. Legacy ID: TC_REC_008. Historical source status retained; detailed execution evidence was not recorded.</x:v>
      </x:c>
    </x:row>
    <x:row r="29">
      <x:c r="A29" s="114" t="str">
        <x:v>RQ-DIR-002</x:v>
      </x:c>
      <x:c r="B29" s="115" t="str">
        <x:v>TC-DIR-002</x:v>
      </x:c>
      <x:c r="C29" s="115" t="str">
        <x:v>Directory</x:v>
      </x:c>
      <x:c r="D29" s="115" t="str">
        <x:v>Employee Search</x:v>
      </x:c>
      <x:c r="E29" s="109" t="str">
        <x:v>TS-DIR-002 — Verify searching directory by Employee Name</x:v>
      </x:c>
      <x:c r="F29" s="109" t="str">
        <x:v>Authenticated user has Directory access; an employee with a known searchable name exists.</x:v>
      </x:c>
      <x:c r="G29" s="109" t="str">
        <x:v>1. Enter name in search.
2. Click Search.</x:v>
      </x:c>
      <x:c r="H29" s="109" t="str">
        <x:v>John</x:v>
      </x:c>
      <x:c r="I29" s="109" t="str">
        <x:v>Matching employee(s) with job title &amp; location shown.</x:v>
      </x:c>
      <x:c r="J29" s="109" t="str">
        <x:v>Not recorded in source workbook (historical status: Pass).</x:v>
      </x:c>
      <x:c r="K29" s="118" t="str">
        <x:v>Medium</x:v>
      </x:c>
      <x:c r="L29" s="118" t="str">
        <x:v>Medium</x:v>
      </x:c>
      <x:c r="M29" s="118" t="str">
        <x:v>Functional - Positive</x:v>
      </x:c>
      <x:c r="N29" s="118" t="str">
        <x:v>Pass</x:v>
      </x:c>
      <x:c r="O29" s="118" t="str">
        <x:v>Not recorded</x:v>
      </x:c>
      <x:c r="P29" s="120" t="str">
        <x:v>Not recorded</x:v>
      </x:c>
      <x:c r="Q29" s="118" t="str">
        <x:v>Source baseline - details not recorded</x:v>
      </x:c>
      <x:c r="R29" s="118" t="str">
        <x:v>Not recorded</x:v>
      </x:c>
      <x:c r="S29" s="118" t="str">
        <x:v>Not recorded</x:v>
      </x:c>
      <x:c r="T29" s="110" t="str">
        <x:v>Smoke sequence 24/27. Release-gating case selected from the canonical functional suite. Legacy ID: TC_DIR_002. Historical source status retained; detailed execution evidence was not recorded.</x:v>
      </x:c>
    </x:row>
    <x:row r="30">
      <x:c r="A30" s="114" t="str">
        <x:v>RQ-ADM-007</x:v>
      </x:c>
      <x:c r="B30" s="115" t="str">
        <x:v>TC-ADM-007</x:v>
      </x:c>
      <x:c r="C30" s="115" t="str">
        <x:v>Admin</x:v>
      </x:c>
      <x:c r="D30" s="115" t="str">
        <x:v>System User Deletion</x:v>
      </x:c>
      <x:c r="E30" s="109" t="str">
        <x:v>TS-ADM-007 — Verify deleting a system user</x:v>
      </x:c>
      <x:c r="F30" s="109" t="str">
        <x:v>Administrator is authenticated; a deletable QA test system user exists.</x:v>
      </x:c>
      <x:c r="G30" s="109" t="str">
        <x:v>1. Select checkbox of a user.
2. Click Delete.
3. Confirm.</x:v>
      </x:c>
      <x:c r="H30" s="109" t="str">
        <x:v>Existing test user</x:v>
      </x:c>
      <x:c r="I30" s="109" t="str">
        <x:v>User removed from System Users list.</x:v>
      </x:c>
      <x:c r="J30" s="109" t="str">
        <x:v>Not recorded in source workbook (historical status: Pass).</x:v>
      </x:c>
      <x:c r="K30" s="118" t="str">
        <x:v>High</x:v>
      </x:c>
      <x:c r="L30" s="118" t="str">
        <x:v>High</x:v>
      </x:c>
      <x:c r="M30" s="118" t="str">
        <x:v>Functional - Positive</x:v>
      </x:c>
      <x:c r="N30" s="118" t="str">
        <x:v>Pass</x:v>
      </x:c>
      <x:c r="O30" s="118" t="str">
        <x:v>Not recorded</x:v>
      </x:c>
      <x:c r="P30" s="120" t="str">
        <x:v>Not recorded</x:v>
      </x:c>
      <x:c r="Q30" s="118" t="str">
        <x:v>Source baseline - details not recorded</x:v>
      </x:c>
      <x:c r="R30" s="118" t="str">
        <x:v>Not recorded</x:v>
      </x:c>
      <x:c r="S30" s="118" t="str">
        <x:v>Not recorded</x:v>
      </x:c>
      <x:c r="T30" s="110" t="str">
        <x:v>Smoke sequence 25/27. Release-gating case selected from the canonical functional suite. Legacy ID: TC_ADM_007. Historical source status retained; detailed execution evidence was not recorded.</x:v>
      </x:c>
    </x:row>
    <x:row r="31">
      <x:c r="A31" s="114" t="str">
        <x:v>RQ-PIM-015</x:v>
      </x:c>
      <x:c r="B31" s="115" t="str">
        <x:v>TC-PIM-015</x:v>
      </x:c>
      <x:c r="C31" s="115" t="str">
        <x:v>PIM</x:v>
      </x:c>
      <x:c r="D31" s="115" t="str">
        <x:v>Employee Deletion</x:v>
      </x:c>
      <x:c r="E31" s="109" t="str">
        <x:v>TS-PIM-015 — Verify deleting an employee record</x:v>
      </x:c>
      <x:c r="F31" s="109" t="str">
        <x:v>Administrator is authenticated; a deletable QA employee record exists.</x:v>
      </x:c>
      <x:c r="G31" s="109" t="str">
        <x:v>1. Select employee checkbox.
2. Click Delete.
3. Confirm.</x:v>
      </x:c>
      <x:c r="H31" s="109" t="str">
        <x:v>Test employee record</x:v>
      </x:c>
      <x:c r="I31" s="109" t="str">
        <x:v>Employee removed from Employee List.</x:v>
      </x:c>
      <x:c r="J31" s="109" t="str">
        <x:v>Not recorded in source workbook (historical status: Pass).</x:v>
      </x:c>
      <x:c r="K31" s="118" t="str">
        <x:v>High</x:v>
      </x:c>
      <x:c r="L31" s="118" t="str">
        <x:v>High</x:v>
      </x:c>
      <x:c r="M31" s="118" t="str">
        <x:v>Functional - Positive</x:v>
      </x:c>
      <x:c r="N31" s="118" t="str">
        <x:v>Pass</x:v>
      </x:c>
      <x:c r="O31" s="118" t="str">
        <x:v>Not recorded</x:v>
      </x:c>
      <x:c r="P31" s="120" t="str">
        <x:v>Not recorded</x:v>
      </x:c>
      <x:c r="Q31" s="118" t="str">
        <x:v>Source baseline - details not recorded</x:v>
      </x:c>
      <x:c r="R31" s="118" t="str">
        <x:v>Not recorded</x:v>
      </x:c>
      <x:c r="S31" s="118" t="str">
        <x:v>Not recorded</x:v>
      </x:c>
      <x:c r="T31" s="110" t="str">
        <x:v>Smoke sequence 26/27. Release-gating case selected from the canonical functional suite. Legacy ID: TC_PIM_015. Historical source status retained; detailed execution evidence was not recorded.</x:v>
      </x:c>
    </x:row>
    <x:row r="32">
      <x:c r="A32" s="114" t="str">
        <x:v>RQ-SES-001</x:v>
      </x:c>
      <x:c r="B32" s="115" t="str">
        <x:v>TC-SES-001</x:v>
      </x:c>
      <x:c r="C32" s="115" t="str">
        <x:v>Session</x:v>
      </x:c>
      <x:c r="D32" s="115" t="str">
        <x:v>Logout</x:v>
      </x:c>
      <x:c r="E32" s="109" t="str">
        <x:v>TS-SES-001 — Verify successful logout redirects to Login page</x:v>
      </x:c>
      <x:c r="F32" s="109" t="str">
        <x:v>User is authenticated and an active session exists.</x:v>
      </x:c>
      <x:c r="G32" s="109" t="str">
        <x:v>1. Click profile dropdown.
2. Click Logout.</x:v>
      </x:c>
      <x:c r="H32" s="109" t="str">
        <x:v>N/A</x:v>
      </x:c>
      <x:c r="I32" s="109" t="str">
        <x:v>User logged out and redirected to Login screen.</x:v>
      </x:c>
      <x:c r="J32" s="109" t="str">
        <x:v>Not recorded in source workbook (historical status: Pass).</x:v>
      </x:c>
      <x:c r="K32" s="118" t="str">
        <x:v>High</x:v>
      </x:c>
      <x:c r="L32" s="118" t="str">
        <x:v>High</x:v>
      </x:c>
      <x:c r="M32" s="118" t="str">
        <x:v>Session / Access Control</x:v>
      </x:c>
      <x:c r="N32" s="118" t="str">
        <x:v>Pass</x:v>
      </x:c>
      <x:c r="O32" s="118" t="str">
        <x:v>Not recorded</x:v>
      </x:c>
      <x:c r="P32" s="120" t="str">
        <x:v>Not recorded</x:v>
      </x:c>
      <x:c r="Q32" s="118" t="str">
        <x:v>Source baseline - details not recorded</x:v>
      </x:c>
      <x:c r="R32" s="118" t="str">
        <x:v>Not recorded</x:v>
      </x:c>
      <x:c r="S32" s="118" t="str">
        <x:v>Not recorded</x:v>
      </x:c>
      <x:c r="T32" s="110" t="str">
        <x:v>Smoke sequence 27/27. Release-gating case selected from the canonical functional suite. Legacy ID: TC_SES_001. Historical source status retained; detailed execution evidence was not recorded.</x:v>
      </x:c>
    </x:row>
    <x:row r="34" ht="30" customHeight="1">
      <x:c r="A34" s="124" t="str">
        <x:v>Control note: This smoke suite references the canonical functional cases from 03_Test_Design/Functional_Test_Cases. It does not create new coverage or replace the 96-case regression baseline.</x:v>
      </x:c>
      <x:c r="B34" s="124"/>
      <x:c r="C34" s="124"/>
      <x:c r="D34" s="124"/>
      <x:c r="E34" s="124"/>
      <x:c r="F34" s="124"/>
      <x:c r="G34" s="124"/>
      <x:c r="H34" s="124"/>
      <x:c r="I34" s="124"/>
      <x:c r="J34" s="124"/>
      <x:c r="K34" s="124"/>
      <x:c r="L34" s="124"/>
      <x:c r="M34" s="124"/>
      <x:c r="N34" s="124"/>
      <x:c r="O34" s="124"/>
      <x:c r="P34" s="124"/>
      <x:c r="Q34" s="124"/>
      <x:c r="R34" s="124"/>
      <x:c r="S34" s="124"/>
      <x:c r="T34" s="124"/>
    </x:row>
  </x:sheetData>
  <x:mergeCells>
    <x:mergeCell ref="A1:T1"/>
    <x:mergeCell ref="A2:T2"/>
    <x:mergeCell ref="A3:T3"/>
    <x:mergeCell ref="A34:T34"/>
  </x:mergeCells>
  <x:conditionalFormatting sqref="N6:N32">
    <x:cfRule type="expression" dxfId="0" priority="1">
      <x:formula>N6="Pass"</x:formula>
    </x:cfRule>
    <x:cfRule type="expression" dxfId="1" priority="2">
      <x:formula>N6="Fail"</x:formula>
    </x:cfRule>
    <x:cfRule type="expression" dxfId="2" priority="3">
      <x:formula>N6="Blocked"</x:formula>
    </x:cfRule>
    <x:cfRule type="expression" dxfId="3" priority="4">
      <x:formula>N6="Not Executed"</x:formula>
    </x:cfRule>
  </x:conditionalFormatting>
  <x:conditionalFormatting sqref="K6:K32">
    <x:cfRule type="expression" dxfId="4" priority="5">
      <x:formula>K6="High"</x:formula>
    </x:cfRule>
  </x:conditionalFormatting>
  <x:conditionalFormatting sqref="L6:L32">
    <x:cfRule type="expression" dxfId="5" priority="6">
      <x:formula>L6="Critical"</x:formula>
    </x:cfRule>
    <x:cfRule type="expression" dxfId="6" priority="7">
      <x:formula>L6="High"</x:formula>
    </x:cfRule>
  </x:conditionalFormatting>
  <x:dataValidations count="4">
    <x:dataValidation type="list" sqref="K6:K32">
      <x:formula1>"Critical,High,Medium,Low"</x:formula1>
    </x:dataValidation>
    <x:dataValidation type="list" sqref="L6:L32">
      <x:formula1>"Critical,High,Medium,Low"</x:formula1>
    </x:dataValidation>
    <x:dataValidation type="list" sqref="M6:M32">
      <x:formula1>"Functional - Positive,Functional - Negative,UI / Navigation,Security-Oriented,Role / Authorization,Data Validation"</x:formula1>
    </x:dataValidation>
    <x:dataValidation type="list" sqref="N6:N32">
      <x:formula1>"Pass,Fail,Blocked,Not Executed"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4b32b2bf6d46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OrangeHRM Smoke Suite — Release Gate Overview</x:v>
      </x:c>
      <x:c r="B1" s="5"/>
      <x:c r="C1" s="5"/>
      <x:c r="D1" s="5"/>
      <x:c r="E1" s="5"/>
      <x:c r="F1" s="5"/>
      <x:c r="G1" s="5"/>
      <x:c r="H1" s="5"/>
    </x:row>
    <x:row r="3">
      <x:c r="A3" s="132" t="str">
        <x:v>Control</x:v>
      </x:c>
      <x:c r="B3" s="133" t="str">
        <x:v>Value</x:v>
      </x:c>
      <x:c r="D3" s="129" t="str">
        <x:v>Release Gate Definition</x:v>
      </x:c>
      <x:c r="E3" s="129"/>
      <x:c r="F3" s="129"/>
      <x:c r="G3" s="129"/>
      <x:c r="H3" s="129"/>
    </x:row>
    <x:row r="4" ht="28" customHeight="1">
      <x:c r="A4" s="144" t="str">
        <x:v>Suite Type</x:v>
      </x:c>
      <x:c r="B4" s="148" t="str">
        <x:v>Smoke / Release Gate</x:v>
      </x:c>
      <x:c r="D4" s="175" t="str">
        <x:v>Purpose: provide fast confidence that the core OrangeHRM business flows are operational before deeper regression begins.
Entry criteria: target environment is reachable; valid Admin/ESS credentials are available; prerequisite employee, leave, time and recruitment reference data can be created or identified.
Exit criteria: all smoke cases are executed; no unresolved Critical/High business-flow failure remains; any failed smoke case is triaged before regression proceeds.
Cadence: execute after a deployment, release candidate, environment refresh or high-impact fix that could affect shared navigation/authentication.</x:v>
      </x:c>
      <x:c r="E4" s="176"/>
      <x:c r="F4" s="176"/>
      <x:c r="G4" s="176"/>
      <x:c r="H4" s="177"/>
    </x:row>
    <x:row r="5" ht="28" customHeight="1">
      <x:c r="A5" s="144" t="str">
        <x:v>Baseline Date</x:v>
      </x:c>
      <x:c r="B5" s="152" t="n">
        <x:v>46275</x:v>
      </x:c>
      <x:c r="D5" s="178"/>
      <x:c r="E5" s="179"/>
      <x:c r="F5" s="179"/>
      <x:c r="G5" s="179"/>
      <x:c r="H5" s="180"/>
    </x:row>
    <x:row r="6" ht="28" customHeight="1">
      <x:c r="A6" s="144" t="str">
        <x:v>Source</x:v>
      </x:c>
      <x:c r="B6" s="148" t="str">
        <x:v>Deliverable 3 — canonical functional test cases</x:v>
      </x:c>
      <x:c r="D6" s="178"/>
      <x:c r="E6" s="179"/>
      <x:c r="F6" s="179"/>
      <x:c r="G6" s="179"/>
      <x:c r="H6" s="180"/>
    </x:row>
    <x:row r="7" ht="28" customHeight="1">
      <x:c r="A7" s="144" t="str">
        <x:v>Total Cases</x:v>
      </x:c>
      <x:c r="B7" s="148" t="n">
        <x:f>COUNTA('Smoke Test Suite'!B6:B32)</x:f>
        <x:v>27</x:v>
      </x:c>
      <x:c r="D7" s="178"/>
      <x:c r="E7" s="179"/>
      <x:c r="F7" s="179"/>
      <x:c r="G7" s="179"/>
      <x:c r="H7" s="180"/>
    </x:row>
    <x:row r="8" ht="28" customHeight="1">
      <x:c r="A8" s="144" t="str">
        <x:v>Modules Covered</x:v>
      </x:c>
      <x:c r="B8" s="148" t="n">
        <x:f>COUNTIF(B14:B22,"&gt;0")</x:f>
        <x:v>9</x:v>
      </x:c>
      <x:c r="D8" s="178"/>
      <x:c r="E8" s="179"/>
      <x:c r="F8" s="179"/>
      <x:c r="G8" s="179"/>
      <x:c r="H8" s="180"/>
    </x:row>
    <x:row r="9" ht="28" customHeight="1">
      <x:c r="A9" s="144" t="str">
        <x:v>Historical Pass</x:v>
      </x:c>
      <x:c r="B9" s="148" t="n">
        <x:f>COUNTIF('Smoke Test Suite'!N6:N32,"Pass")</x:f>
        <x:v>27</x:v>
      </x:c>
      <x:c r="D9" s="181"/>
      <x:c r="E9" s="182"/>
      <x:c r="F9" s="182"/>
      <x:c r="G9" s="182"/>
      <x:c r="H9" s="183"/>
    </x:row>
    <x:row r="10">
      <x:c r="A10" s="145" t="str">
        <x:v>Historical Pass Rate</x:v>
      </x:c>
      <x:c r="B10" s="154" t="n">
        <x:f>IFERROR(B9/B7,0)</x:f>
        <x:v>1</x:v>
      </x:c>
    </x:row>
    <x:row r="13">
      <x:c r="A13" s="216" t="str">
        <x:v>Module</x:v>
      </x:c>
      <x:c r="B13" s="217" t="str">
        <x:v>Cases</x:v>
      </x:c>
      <x:c r="C13" s="218" t="str">
        <x:v>Release-Critical Coverage</x:v>
      </x:c>
      <x:c r="E13" s="239" t="str">
        <x:v>Intentionally Outside Smoke Scope</x:v>
      </x:c>
      <x:c r="F13" s="239"/>
      <x:c r="G13" s="239"/>
      <x:c r="H13" s="239"/>
    </x:row>
    <x:row r="14">
      <x:c r="A14" s="225" t="str">
        <x:v>Login</x:v>
      </x:c>
      <x:c r="B14" s="226" t="n">
        <x:f>COUNTIF('Smoke Test Suite'!C6:C32,"Login")</x:f>
        <x:v>1</x:v>
      </x:c>
      <x:c r="C14" s="227" t="str">
        <x:v>Authentication</x:v>
      </x:c>
      <x:c r="E14" s="262" t="str">
        <x:v>Forgot Password, My Info, Performance and Buzz are not release-gating flows in this smoke baseline. They remain fully covered by the 96-case functional/regression baseline and will be included where appropriate in Regression, Sanity and Critical Path suites. Negative validation, security-oriented and edge-case coverage is also intentionally reserved for deeper execution rather than this fast smoke gate.</x:v>
      </x:c>
      <x:c r="F14" s="263"/>
      <x:c r="G14" s="263"/>
      <x:c r="H14" s="264"/>
    </x:row>
    <x:row r="15">
      <x:c r="A15" s="225" t="str">
        <x:v>Dashboard</x:v>
      </x:c>
      <x:c r="B15" s="226" t="n">
        <x:f>COUNTIF('Smoke Test Suite'!C6:C32,"Dashboard")</x:f>
        <x:v>1</x:v>
      </x:c>
      <x:c r="C15" s="227" t="str">
        <x:v>Post-login availability</x:v>
      </x:c>
      <x:c r="E15" s="265"/>
      <x:c r="F15" s="266"/>
      <x:c r="G15" s="266"/>
      <x:c r="H15" s="267"/>
    </x:row>
    <x:row r="16">
      <x:c r="A16" s="225" t="str">
        <x:v>PIM</x:v>
      </x:c>
      <x:c r="B16" s="226" t="n">
        <x:f>COUNTIF('Smoke Test Suite'!C6:C32,"PIM")</x:f>
        <x:v>6</x:v>
      </x:c>
      <x:c r="C16" s="227" t="str">
        <x:v>Employee lifecycle</x:v>
      </x:c>
      <x:c r="E16" s="265"/>
      <x:c r="F16" s="266"/>
      <x:c r="G16" s="266"/>
      <x:c r="H16" s="267"/>
    </x:row>
    <x:row r="17">
      <x:c r="A17" s="225" t="str">
        <x:v>Admin</x:v>
      </x:c>
      <x:c r="B17" s="226" t="n">
        <x:f>COUNTIF('Smoke Test Suite'!C6:C32,"Admin")</x:f>
        <x:v>4</x:v>
      </x:c>
      <x:c r="C17" s="227" t="str">
        <x:v>System-user administration</x:v>
      </x:c>
      <x:c r="E17" s="265"/>
      <x:c r="F17" s="266"/>
      <x:c r="G17" s="266"/>
      <x:c r="H17" s="267"/>
    </x:row>
    <x:row r="18">
      <x:c r="A18" s="225" t="str">
        <x:v>Leave</x:v>
      </x:c>
      <x:c r="B18" s="226" t="n">
        <x:f>COUNTIF('Smoke Test Suite'!C6:C32,"Leave")</x:f>
        <x:v>4</x:v>
      </x:c>
      <x:c r="C18" s="227" t="str">
        <x:v>Request and approval</x:v>
      </x:c>
      <x:c r="E18" s="265"/>
      <x:c r="F18" s="266"/>
      <x:c r="G18" s="266"/>
      <x:c r="H18" s="267"/>
    </x:row>
    <x:row r="19">
      <x:c r="A19" s="225" t="str">
        <x:v>Time</x:v>
      </x:c>
      <x:c r="B19" s="226" t="n">
        <x:f>COUNTIF('Smoke Test Suite'!C6:C32,"Time")</x:f>
        <x:v>4</x:v>
      </x:c>
      <x:c r="C19" s="227" t="str">
        <x:v>Timesheet entry and approval</x:v>
      </x:c>
      <x:c r="E19" s="265"/>
      <x:c r="F19" s="266"/>
      <x:c r="G19" s="266"/>
      <x:c r="H19" s="267"/>
    </x:row>
    <x:row r="20">
      <x:c r="A20" s="225" t="str">
        <x:v>Recruitment</x:v>
      </x:c>
      <x:c r="B20" s="226" t="n">
        <x:f>COUNTIF('Smoke Test Suite'!C6:C32,"Recruitment")</x:f>
        <x:v>5</x:v>
      </x:c>
      <x:c r="C20" s="227" t="str">
        <x:v>Vacancy and candidate workflow</x:v>
      </x:c>
      <x:c r="E20" s="265"/>
      <x:c r="F20" s="266"/>
      <x:c r="G20" s="266"/>
      <x:c r="H20" s="267"/>
    </x:row>
    <x:row r="21">
      <x:c r="A21" s="225" t="str">
        <x:v>Directory</x:v>
      </x:c>
      <x:c r="B21" s="226" t="n">
        <x:f>COUNTIF('Smoke Test Suite'!C6:C32,"Directory")</x:f>
        <x:v>1</x:v>
      </x:c>
      <x:c r="C21" s="227" t="str">
        <x:v>Employee discovery</x:v>
      </x:c>
      <x:c r="E21" s="265"/>
      <x:c r="F21" s="266"/>
      <x:c r="G21" s="266"/>
      <x:c r="H21" s="267"/>
    </x:row>
    <x:row r="22">
      <x:c r="A22" s="228" t="str">
        <x:v>Session</x:v>
      </x:c>
      <x:c r="B22" s="229" t="n">
        <x:f>COUNTIF('Smoke Test Suite'!C6:C32,"Session")</x:f>
        <x:v>1</x:v>
      </x:c>
      <x:c r="C22" s="230" t="str">
        <x:v>Logout</x:v>
      </x:c>
      <x:c r="E22" s="268"/>
      <x:c r="F22" s="269"/>
      <x:c r="G22" s="269"/>
      <x:c r="H22" s="270"/>
    </x:row>
    <x:row r="25">
      <x:c r="A25" s="300" t="str">
        <x:v>Repository Traceability</x:v>
      </x:c>
      <x:c r="B25" s="300"/>
      <x:c r="C25" s="300"/>
      <x:c r="D25" s="300"/>
      <x:c r="E25" s="300"/>
      <x:c r="F25" s="300"/>
      <x:c r="G25" s="300"/>
      <x:c r="H25" s="300"/>
    </x:row>
    <x:row r="26">
      <x:c r="A26" s="175" t="str">
        <x:v>Upstream controls:
• 01_Project_Information/Requirement_Analysis.md
• 02_Test_Planning/Test_Plan.md
• 02_Test_Planning/Test_Strategy.md
• 02_Test_Planning/Requirement_Traceability_Matrix.xlsx
• 03_Test_Design/Functional_Test_Cases/*.xlsx
Downstream use: 04_Test_Execution/Test_Execution_Report.xlsx and 06_Test_Closure/Test_Summary_Report.md.</x:v>
      </x:c>
      <x:c r="B26" s="176"/>
      <x:c r="C26" s="176"/>
      <x:c r="D26" s="176"/>
      <x:c r="E26" s="176"/>
      <x:c r="F26" s="176"/>
      <x:c r="G26" s="176"/>
      <x:c r="H26" s="177"/>
    </x:row>
    <x:row r="27">
      <x:c r="A27" s="178"/>
      <x:c r="B27" s="179"/>
      <x:c r="C27" s="179"/>
      <x:c r="D27" s="179"/>
      <x:c r="E27" s="179"/>
      <x:c r="F27" s="179"/>
      <x:c r="G27" s="179"/>
      <x:c r="H27" s="180"/>
    </x:row>
    <x:row r="28">
      <x:c r="A28" s="178"/>
      <x:c r="B28" s="179"/>
      <x:c r="C28" s="179"/>
      <x:c r="D28" s="179"/>
      <x:c r="E28" s="179"/>
      <x:c r="F28" s="179"/>
      <x:c r="G28" s="179"/>
      <x:c r="H28" s="180"/>
    </x:row>
    <x:row r="29">
      <x:c r="A29" s="178"/>
      <x:c r="B29" s="179"/>
      <x:c r="C29" s="179"/>
      <x:c r="D29" s="179"/>
      <x:c r="E29" s="179"/>
      <x:c r="F29" s="179"/>
      <x:c r="G29" s="179"/>
      <x:c r="H29" s="180"/>
    </x:row>
    <x:row r="30">
      <x:c r="A30" s="181"/>
      <x:c r="B30" s="182"/>
      <x:c r="C30" s="182"/>
      <x:c r="D30" s="182"/>
      <x:c r="E30" s="182"/>
      <x:c r="F30" s="182"/>
      <x:c r="G30" s="182"/>
      <x:c r="H30" s="183"/>
    </x:row>
  </x:sheetData>
  <x:mergeCells>
    <x:mergeCell ref="A1:H1"/>
    <x:mergeCell ref="D3:H3"/>
    <x:mergeCell ref="D4:H9"/>
    <x:mergeCell ref="E13:H13"/>
    <x:mergeCell ref="E14:H22"/>
    <x:mergeCell ref="A25:H25"/>
    <x:mergeCell ref="A26:H30"/>
  </x:mergeCells>
  <x:pageMargins left="0.7" right="0.7" top="0.75" bottom="0.75" header="0.3" footer="0.3"/>
  <x:drawing xmlns:r="http://schemas.openxmlformats.org/officeDocument/2006/relationships" r:id="R7190c44b1e344f66"/>
</x:worksheet>
</file>