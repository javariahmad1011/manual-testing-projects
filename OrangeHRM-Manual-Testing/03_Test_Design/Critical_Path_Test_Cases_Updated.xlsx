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37881ba88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te Overview" sheetId="1" r:id="R89d1f96f05b54203"/>
    <x:sheet xmlns:r="http://schemas.openxmlformats.org/officeDocument/2006/relationships" name="Critical Path Test Cases" sheetId="2" r:id="R4a0ea3202ea3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7365D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FFFFFF"/>
      <x:name val="Carlito"/>
    </x:font>
    <x:font>
      <x:b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200" fontId="5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5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201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left"/>
    </x:xf>
    <x:xf numFmtId="0" fontId="6" fillId="5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13"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  <x:dxf>
      <x:font>
        <x:color rgb="FF5F6368"/>
      </x:font>
      <x:fill>
        <x:patternFill>
          <x:bgColor rgb="FFE7E6E6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color rgb="FF9A6700"/>
      </x:font>
      <x:fill>
        <x:patternFill>
          <x:bgColor rgb="FFFFF2CC"/>
        </x:patternFill>
      </x:fill>
    </x:dxf>
    <x:dxf>
      <x:font>
        <x:color rgb="FF2E7D32"/>
      </x:font>
      <x:fill>
        <x:patternFill>
          <x:bgColor rgb="FFE2F0D9"/>
        </x:patternFill>
      </x:fill>
    </x:dxf>
    <x:dxf>
      <x:font>
        <x:b/>
        <x:color rgb="FF7F0000"/>
      </x:font>
      <x:fill>
        <x:patternFill>
          <x:bgColor rgb="FFFCE8E6"/>
        </x:patternFill>
      </x:fill>
    </x:dxf>
    <x:dxf>
      <x:font>
        <x:b/>
        <x:color rgb="FFB91C1C"/>
      </x:font>
      <x:fill>
        <x:patternFill>
          <x:bgColor rgb="FFF8D7DA"/>
        </x:patternFill>
      </x:fill>
    </x:dxf>
    <x:dxf>
      <x:font>
        <x:color rgb="FF9A6700"/>
      </x:font>
      <x:fill>
        <x:patternFill>
          <x:bgColor rgb="FFFFF2CC"/>
        </x:patternFill>
      </x:fill>
    </x:dxf>
    <x:dxf>
      <x:font>
        <x:color rgb="FF2E7D32"/>
      </x:font>
      <x:fill>
        <x:patternFill>
          <x:bgColor rgb="FFE2F0D9"/>
        </x:patternFill>
      </x:fill>
    </x:dxf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9A67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2f744fa7c4247" /><Relationship Type="http://schemas.openxmlformats.org/officeDocument/2006/relationships/theme" Target="/xl/theme/theme1.xml" Id="R297b50090e23430c" /><Relationship Type="http://schemas.openxmlformats.org/officeDocument/2006/relationships/sharedStrings" Target="/xl/sharedStrings.xml" Id="R1550274b8c854f0f" /><Relationship Type="http://schemas.openxmlformats.org/officeDocument/2006/relationships/worksheet" Target="/xl/worksheets/sheet1.xml" Id="R89d1f96f05b54203" /><Relationship Type="http://schemas.openxmlformats.org/officeDocument/2006/relationships/worksheet" Target="/xl/worksheets/sheet2.xml" Id="R4a0ea3202ea34d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172ad12d764db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Cases by Critical Workflow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Critical Path Cases</c:v>
          </c:tx>
          <c:cat>
            <c:strRef>
              <c:f>'Suite Overview'!$A$16:$A$23</c:f>
              <c:strCache>
                <c:ptCount val="0"/>
              </c:strCache>
            </c:strRef>
          </c:cat>
          <c:val>
            <c:numRef>
              <c:f>'Suite Overview'!$C$16:$C$23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72ad12d764db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CriticalWorkflowTable" displayName="CriticalWorkflowTable" ref="A15:G23" headerRowCount="1" totalsRowCount="0" totalsRowShown="0">
  <x:tableColumns count="7">
    <x:tableColumn id="1" name="Path ID"/>
    <x:tableColumn id="2" name="Critical Workflow"/>
    <x:tableColumn id="3" name="Case Count"/>
    <x:tableColumn id="4" name="Modules"/>
    <x:tableColumn id="5" name="Canonical Test Cases"/>
    <x:tableColumn id="6" name="Business Objective"/>
    <x:tableColumn id="7" name="Gate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riticalPathTable" displayName="CriticalPathTable" ref="A4:T24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6f3e847f764e60" /><Relationship Type="http://schemas.openxmlformats.org/officeDocument/2006/relationships/table" Target="/xl/tables/table1.xml" Id="R9eacc8b284f642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730bdb501f4ee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2" hidden="0" customWidth="1"/>
    <x:col min="4" max="4" width="27" hidden="0" customWidth="1"/>
    <x:col min="5" max="5" width="45" hidden="0" customWidth="1"/>
    <x:col min="6" max="6" width="48" hidden="0" customWidth="1"/>
    <x:col min="7" max="7" width="48" hidden="0" customWidth="1"/>
    <x:col min="8" max="8" width="18" hidden="0" customWidth="1"/>
  </x:cols>
  <x:sheetData>
    <x:row r="1" ht="30" customHeight="1">
      <x:c r="A1" s="49" t="str">
        <x:v>OrangeHRM — Critical Path Test Suite Overview</x:v>
      </x:c>
      <x:c r="B1" s="49"/>
      <x:c r="C1" s="49"/>
      <x:c r="D1" s="49"/>
      <x:c r="E1" s="49"/>
      <x:c r="F1" s="49"/>
      <x:c r="G1" s="49"/>
      <x:c r="H1" s="49"/>
    </x:row>
    <x:row r="2" ht="34" customHeight="1">
      <x:c r="A2" s="17" t="str">
        <x:v>Release-focused coverage of workflows whose failure would block core HR operations, approval processing, access, or sensitive-data protection.</x:v>
      </x:c>
      <x:c r="B2" s="17"/>
      <x:c r="C2" s="17"/>
      <x:c r="D2" s="17"/>
      <x:c r="E2" s="17"/>
      <x:c r="F2" s="17"/>
      <x:c r="G2" s="17"/>
      <x:c r="H2" s="17"/>
    </x:row>
    <x:row r="4">
      <x:c r="A4" s="66" t="str">
        <x:v>Suite Metric</x:v>
      </x:c>
      <x:c r="B4" s="66" t="str">
        <x:v>Value</x:v>
      </x:c>
      <x:c r="D4" s="84" t="str">
        <x:v>Critical Path Execution Control</x:v>
      </x:c>
      <x:c r="E4" s="84"/>
      <x:c r="F4" s="84"/>
      <x:c r="G4" s="84"/>
      <x:c r="H4" s="84"/>
    </x:row>
    <x:row r="5" ht="34" customHeight="1">
      <x:c r="A5" s="102" t="str">
        <x:v>Planned critical-path cases</x:v>
      </x:c>
      <x:c r="B5" s="80" t="n">
        <x:f>COUNTA('Critical Path Test Cases'!B5:B24)</x:f>
        <x:v>20</x:v>
      </x:c>
      <x:c r="D5" s="23" t="str">
        <x:v>Inclusion rule: only workflows that enable core access, employee onboarding, approval processing, recruitment progression, employee self-service, directory discovery, performance review creation, or protection of sensitive employee data.
Execution order: run each CP workflow in the sequence shown below. Preserve created test data where a later step depends on an earlier transaction.
Release gate: all critical-path cases must be executed against the designated build. No open Critical/High failure may remain without an approved release exception.
Baseline note: TC-MYI-004 is the only failed case in the historical critical-path baseline. The source workbook did not record a detailed Actual Result, so it remains a triage/retest candidate rather than an automatically confirmed defect.
Cross-reference: canonical definitions are held in 03_Test_Design/Functional_Test_Cases; traceability is maintained in 02_Test_Planning/Requirement_Traceability_Matrix.xlsx.</x:v>
      </x:c>
      <x:c r="E5" s="23"/>
      <x:c r="F5" s="23"/>
      <x:c r="G5" s="23"/>
      <x:c r="H5" s="23"/>
    </x:row>
    <x:row r="6" ht="34" customHeight="1">
      <x:c r="A6" s="102" t="str">
        <x:v>Historical Pass</x:v>
      </x:c>
      <x:c r="B6" s="80" t="n">
        <x:f>COUNTIF('Critical Path Test Cases'!N5:N24,"Pass")</x:f>
        <x:v>19</x:v>
      </x:c>
      <x:c r="D6" s="23"/>
      <x:c r="E6" s="23"/>
      <x:c r="F6" s="23"/>
      <x:c r="G6" s="23"/>
      <x:c r="H6" s="23"/>
    </x:row>
    <x:row r="7" ht="34" customHeight="1">
      <x:c r="A7" s="102" t="str">
        <x:v>Historical Fail</x:v>
      </x:c>
      <x:c r="B7" s="80" t="n">
        <x:f>COUNTIF('Critical Path Test Cases'!N5:N24,"Fail")</x:f>
        <x:v>1</x:v>
      </x:c>
      <x:c r="D7" s="23"/>
      <x:c r="E7" s="23"/>
      <x:c r="F7" s="23"/>
      <x:c r="G7" s="23"/>
      <x:c r="H7" s="23"/>
    </x:row>
    <x:row r="8" ht="34" customHeight="1">
      <x:c r="A8" s="102" t="str">
        <x:v>Historical Pass Rate</x:v>
      </x:c>
      <x:c r="B8" s="81" t="n">
        <x:f>IF(B5=0,0,B6/B5)</x:f>
        <x:v>0.95</x:v>
      </x:c>
      <x:c r="D8" s="23"/>
      <x:c r="E8" s="23"/>
      <x:c r="F8" s="23"/>
      <x:c r="G8" s="23"/>
      <x:c r="H8" s="23"/>
    </x:row>
    <x:row r="9" ht="34" customHeight="1">
      <x:c r="A9" s="102" t="str">
        <x:v>High-priority cases</x:v>
      </x:c>
      <x:c r="B9" s="80" t="n">
        <x:f>COUNTIF('Critical Path Test Cases'!K5:K24,"High")</x:f>
        <x:v>17</x:v>
      </x:c>
      <x:c r="D9" s="23"/>
      <x:c r="E9" s="23"/>
      <x:c r="F9" s="23"/>
      <x:c r="G9" s="23"/>
      <x:c r="H9" s="23"/>
    </x:row>
    <x:row r="10" ht="34" customHeight="1">
      <x:c r="A10" s="102" t="str">
        <x:v>Critical-severity cases</x:v>
      </x:c>
      <x:c r="B10" s="80" t="n">
        <x:f>COUNTIF('Critical Path Test Cases'!L5:L24,"Critical")</x:f>
        <x:v>1</x:v>
      </x:c>
      <x:c r="D10" s="23"/>
      <x:c r="E10" s="23"/>
      <x:c r="F10" s="23"/>
      <x:c r="G10" s="23"/>
      <x:c r="H10" s="23"/>
    </x:row>
    <x:row r="11" ht="34" customHeight="1">
      <x:c r="A11" s="102" t="str">
        <x:v>Critical workflows</x:v>
      </x:c>
      <x:c r="B11" s="80" t="n">
        <x:v>8</x:v>
      </x:c>
      <x:c r="D11" s="23"/>
      <x:c r="E11" s="23"/>
      <x:c r="F11" s="23"/>
      <x:c r="G11" s="23"/>
      <x:c r="H11" s="23"/>
    </x:row>
    <x:row r="12" ht="34" customHeight="1">
      <x:c r="A12" s="102" t="str">
        <x:v>Modules covered</x:v>
      </x:c>
      <x:c r="B12" s="80" t="n">
        <x:v>11</x:v>
      </x:c>
      <x:c r="D12" s="23"/>
      <x:c r="E12" s="23"/>
      <x:c r="F12" s="23"/>
      <x:c r="G12" s="23"/>
      <x:c r="H12" s="23"/>
    </x:row>
    <x:row r="15" ht="30" customHeight="1">
      <x:c r="A15" s="33" t="str">
        <x:v>Path ID</x:v>
      </x:c>
      <x:c r="B15" s="33" t="str">
        <x:v>Critical Workflow</x:v>
      </x:c>
      <x:c r="C15" s="33" t="str">
        <x:v>Case Count</x:v>
      </x:c>
      <x:c r="D15" s="33" t="str">
        <x:v>Modules</x:v>
      </x:c>
      <x:c r="E15" s="33" t="str">
        <x:v>Canonical Test Cases</x:v>
      </x:c>
      <x:c r="F15" s="33" t="str">
        <x:v>Business Objective</x:v>
      </x:c>
      <x:c r="G15" s="33" t="str">
        <x:v>Gate Rule</x:v>
      </x:c>
    </x:row>
    <x:row r="16" ht="58" customHeight="1">
      <x:c r="A16" s="40" t="str">
        <x:v>CP-01</x:v>
      </x:c>
      <x:c r="B16" s="38" t="str">
        <x:v>Secure Authentication &amp; Landing</x:v>
      </x:c>
      <x:c r="C16" s="40" t="n">
        <x:v>3</x:v>
      </x:c>
      <x:c r="D16" s="38" t="str">
        <x:v>Login, Dashboard, Session</x:v>
      </x:c>
      <x:c r="E16" s="38" t="str">
        <x:v>TC-LGN-002, TC-DSH-001, TC-SES-001</x:v>
      </x:c>
      <x:c r="F16" s="38" t="str">
        <x:v>User can authenticate, reach the application and terminate the session.</x:v>
      </x:c>
      <x:c r="G16" s="38" t="str">
        <x:v>Any authentication/landing/logout failure blocks the path.</x:v>
      </x:c>
    </x:row>
    <x:row r="17" ht="58" customHeight="1">
      <x:c r="A17" s="40" t="str">
        <x:v>CP-02</x:v>
      </x:c>
      <x:c r="B17" s="38" t="str">
        <x:v>Employee Onboarding &amp; Access Provisioning</x:v>
      </x:c>
      <x:c r="C17" s="40" t="n">
        <x:v>4</x:v>
      </x:c>
      <x:c r="D17" s="38" t="str">
        <x:v>PIM, Admin</x:v>
      </x:c>
      <x:c r="E17" s="38" t="str">
        <x:v>TC-PIM-002, TC-PIM-005, TC-ADM-002, TC-PIM-013</x:v>
      </x:c>
      <x:c r="F17" s="38" t="str">
        <x:v>Employee master data and system access can be provisioned and retrieved.</x:v>
      </x:c>
      <x:c r="G17" s="38" t="str">
        <x:v>Creation/provisioning/retrieval failure blocks onboarding.</x:v>
      </x:c>
    </x:row>
    <x:row r="18" ht="58" customHeight="1">
      <x:c r="A18" s="40" t="str">
        <x:v>CP-03</x:v>
      </x:c>
      <x:c r="B18" s="38" t="str">
        <x:v>Leave Request-to-Approval</x:v>
      </x:c>
      <x:c r="C18" s="40" t="n">
        <x:v>3</x:v>
      </x:c>
      <x:c r="D18" s="38" t="str">
        <x:v>Leave</x:v>
      </x:c>
      <x:c r="E18" s="38" t="str">
        <x:v>TC-LEV-002, TC-LEV-005, TC-LEV-006</x:v>
      </x:c>
      <x:c r="F18" s="38" t="str">
        <x:v>Employee leave request reaches the approver and can be approved.</x:v>
      </x:c>
      <x:c r="G18" s="38" t="str">
        <x:v>Request visibility or approval failure blocks leave processing.</x:v>
      </x:c>
    </x:row>
    <x:row r="19" ht="58" customHeight="1">
      <x:c r="A19" s="40" t="str">
        <x:v>CP-04</x:v>
      </x:c>
      <x:c r="B19" s="38" t="str">
        <x:v>Timesheet Entry-to-Approval</x:v>
      </x:c>
      <x:c r="C19" s="40" t="n">
        <x:v>3</x:v>
      </x:c>
      <x:c r="D19" s="38" t="str">
        <x:v>Time</x:v>
      </x:c>
      <x:c r="E19" s="38" t="str">
        <x:v>TC-TIM-002, TC-TIM-003, TC-TIM-004</x:v>
      </x:c>
      <x:c r="F19" s="38" t="str">
        <x:v>Time can be entered, submitted and approved.</x:v>
      </x:c>
      <x:c r="G19" s="38" t="str">
        <x:v>Entry/submission/approval failure blocks the time workflow.</x:v>
      </x:c>
    </x:row>
    <x:row r="20" ht="58" customHeight="1">
      <x:c r="A20" s="40" t="str">
        <x:v>CP-05</x:v>
      </x:c>
      <x:c r="B20" s="38" t="str">
        <x:v>Recruitment Vacancy-to-Candidate Progression</x:v>
      </x:c>
      <x:c r="C20" s="40" t="n">
        <x:v>3</x:v>
      </x:c>
      <x:c r="D20" s="38" t="str">
        <x:v>Recruitment</x:v>
      </x:c>
      <x:c r="E20" s="38" t="str">
        <x:v>TC-REC-006, TC-REC-002, TC-REC-007</x:v>
      </x:c>
      <x:c r="F20" s="38" t="str">
        <x:v>Vacancy and candidate records can be created and progressed.</x:v>
      </x:c>
      <x:c r="G20" s="38" t="str">
        <x:v>Vacancy/candidate/pipeline failure blocks recruitment processing.</x:v>
      </x:c>
    </x:row>
    <x:row r="21" ht="58" customHeight="1">
      <x:c r="A21" s="40" t="str">
        <x:v>CP-06</x:v>
      </x:c>
      <x:c r="B21" s="38" t="str">
        <x:v>Employee Self-Service &amp; Authorization</x:v>
      </x:c>
      <x:c r="C21" s="40" t="n">
        <x:v>2</x:v>
      </x:c>
      <x:c r="D21" s="38" t="str">
        <x:v>My Info</x:v>
      </x:c>
      <x:c r="E21" s="38" t="str">
        <x:v>TC-MYI-001, TC-MYI-004</x:v>
      </x:c>
      <x:c r="F21" s="38" t="str">
        <x:v>Employee can view own data while protected fields remain restricted.</x:v>
      </x:c>
      <x:c r="G21" s="38" t="str">
        <x:v>Unauthorized Job/Salary edit access is release-significant.</x:v>
      </x:c>
    </x:row>
    <x:row r="22" ht="58" customHeight="1">
      <x:c r="A22" s="40" t="str">
        <x:v>CP-07</x:v>
      </x:c>
      <x:c r="B22" s="38" t="str">
        <x:v>Employee Directory Search</x:v>
      </x:c>
      <x:c r="C22" s="40" t="n">
        <x:v>1</x:v>
      </x:c>
      <x:c r="D22" s="38" t="str">
        <x:v>Directory</x:v>
      </x:c>
      <x:c r="E22" s="38" t="str">
        <x:v>TC-DIR-002</x:v>
      </x:c>
      <x:c r="F22" s="38" t="str">
        <x:v>Employees can locate colleagues using the directory.</x:v>
      </x:c>
      <x:c r="G22" s="38" t="str">
        <x:v>Search failure prevents core employee discovery.</x:v>
      </x:c>
    </x:row>
    <x:row r="23" ht="58" customHeight="1">
      <x:c r="A23" s="40" t="str">
        <x:v>CP-08</x:v>
      </x:c>
      <x:c r="B23" s="38" t="str">
        <x:v>Performance Review Creation</x:v>
      </x:c>
      <x:c r="C23" s="40" t="n">
        <x:v>1</x:v>
      </x:c>
      <x:c r="D23" s="38" t="str">
        <x:v>Performance</x:v>
      </x:c>
      <x:c r="E23" s="38" t="str">
        <x:v>TC-PRF-002</x:v>
      </x:c>
      <x:c r="F23" s="38" t="str">
        <x:v>A performance review record can be created.</x:v>
      </x:c>
      <x:c r="G23" s="38" t="str">
        <x:v>Review creation failure blocks performance-cycle setup.</x:v>
      </x:c>
    </x:row>
  </x:sheetData>
  <x:mergeCells>
    <x:mergeCell ref="A1:H1"/>
    <x:mergeCell ref="A2:H2"/>
    <x:mergeCell ref="D4:H4"/>
    <x:mergeCell ref="D5:H12"/>
  </x:mergeCells>
  <x:conditionalFormatting sqref="B7:B7">
    <x:cfRule type="cellIs" dxfId="11" priority="1" operator="greaterThan">
      <x:formula>0</x:formula>
    </x:cfRule>
  </x:conditionalFormatting>
  <x:conditionalFormatting sqref="B8:B8">
    <x:cfRule type="cellIs" dxfId="12" priority="2" operator="lessThan">
      <x:formula>1</x:formula>
    </x:cfRule>
  </x:conditionalFormatting>
  <x:pageMargins left="0.7" right="0.7" top="0.75" bottom="0.75" header="0.3" footer="0.3"/>
  <x:drawing xmlns:r="http://schemas.openxmlformats.org/officeDocument/2006/relationships" r:id="R076f3e847f764e60"/>
  <x:tableParts count="1">
    <x:tablePart xmlns:r="http://schemas.openxmlformats.org/officeDocument/2006/relationships" r:id="R9eacc8b284f642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25" hidden="0" customWidth="1"/>
    <x:col min="5" max="5" width="46" hidden="0" customWidth="1"/>
    <x:col min="6" max="6" width="48" hidden="0" customWidth="1"/>
    <x:col min="7" max="7" width="52" hidden="0" customWidth="1"/>
    <x:col min="8" max="8" width="28" hidden="0" customWidth="1"/>
    <x:col min="9" max="9" width="52" hidden="0" customWidth="1"/>
    <x:col min="10" max="10" width="36" hidden="0" customWidth="1"/>
    <x:col min="11" max="11" width="11" hidden="0" customWidth="1"/>
    <x:col min="12" max="12" width="11" hidden="0" customWidth="1"/>
    <x:col min="13" max="13" width="23" hidden="0" customWidth="1"/>
    <x:col min="14" max="14" width="14" hidden="0" customWidth="1"/>
    <x:col min="15" max="15" width="46" hidden="0" customWidth="1"/>
    <x:col min="16" max="16" width="15" hidden="0" customWidth="1"/>
    <x:col min="17" max="17" width="29" hidden="0" customWidth="1"/>
    <x:col min="18" max="18" width="15" hidden="0" customWidth="1"/>
    <x:col min="19" max="19" width="16" hidden="0" customWidth="1"/>
    <x:col min="20" max="20" width="62" hidden="0" customWidth="1"/>
  </x:cols>
  <x:sheetData>
    <x:row r="1" ht="30" customHeight="1">
      <x:c r="A1" s="9" t="str">
        <x:v>OrangeHRM — Critical Path Test Cases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/>
      <x:c r="Q1"/>
      <x:c r="R1"/>
      <x:c r="S1"/>
      <x:c r="T1"/>
    </x:row>
    <x:row r="2" ht="24" customHeight="1">
      <x:c r="A2" s="17" t="str">
        <x:v>Business-critical workflows only | Canonical cases reused from Functional Test Cases | No coverage added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/>
      <x:c r="Q2"/>
      <x:c r="R2"/>
      <x:c r="S2"/>
      <x:c r="T2"/>
    </x:row>
    <x:row r="3" ht="24" customHeight="1">
      <x:c r="A3" s="25" t="str">
        <x:v>20 cases across 8 critical workflows and 11 modules | Historical source baseline retained: 19 Pass / 1 Fail</x:v>
      </x:c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/>
      <x:c r="Q3"/>
      <x:c r="R3"/>
      <x:c r="S3"/>
      <x:c r="T3"/>
    </x:row>
    <x:row r="4" ht="34" customHeight="1">
      <x:c r="A4" s="33" t="str">
        <x:v>Requirement ID</x:v>
      </x:c>
      <x:c r="B4" s="33" t="str">
        <x:v>Test Case ID</x:v>
      </x:c>
      <x:c r="C4" s="33" t="str">
        <x:v>Module</x:v>
      </x:c>
      <x:c r="D4" s="33" t="str">
        <x:v>Feature</x:v>
      </x:c>
      <x:c r="E4" s="33" t="str">
        <x:v>Test Scenario</x:v>
      </x:c>
      <x:c r="F4" s="33" t="str">
        <x:v>Preconditions</x:v>
      </x:c>
      <x:c r="G4" s="33" t="str">
        <x:v>Test Steps</x:v>
      </x:c>
      <x:c r="H4" s="33" t="str">
        <x:v>Test Data</x:v>
      </x:c>
      <x:c r="I4" s="33" t="str">
        <x:v>Expected Result</x:v>
      </x:c>
      <x:c r="J4" s="33" t="str">
        <x:v>Actual Result</x:v>
      </x:c>
      <x:c r="K4" s="33" t="str">
        <x:v>Priority</x:v>
      </x:c>
      <x:c r="L4" s="33" t="str">
        <x:v>Severity</x:v>
      </x:c>
      <x:c r="M4" s="33" t="str">
        <x:v>Type</x:v>
      </x:c>
      <x:c r="N4" s="33" t="str">
        <x:v>Status</x:v>
      </x:c>
      <x:c r="O4" s="33" t="str">
        <x:v>Comments</x:v>
      </x:c>
      <x:c r="P4"/>
      <x:c r="Q4"/>
      <x:c r="R4"/>
      <x:c r="S4"/>
      <x:c r="T4"/>
    </x:row>
    <x:row r="5" ht="72" customHeight="1">
      <x:c r="A5" s="40" t="str">
        <x:v>RQ-LGN-002</x:v>
      </x:c>
      <x:c r="B5" s="40" t="str">
        <x:v>TC-LGN-002</x:v>
      </x:c>
      <x:c r="C5" s="40" t="str">
        <x:v>Login</x:v>
      </x:c>
      <x:c r="D5" s="38" t="str">
        <x:v>Authentication</x:v>
      </x:c>
      <x:c r="E5" s="38" t="str">
        <x:v>TS-LGN-002 — Verify successful login with valid credentials</x:v>
      </x:c>
      <x:c r="F5" s="38" t="str">
        <x:v>OrangeHRM Demo login page is reachable; active Admin credentials are available; user is logged out.</x:v>
      </x:c>
      <x:c r="G5" s="38" t="str">
        <x:v>1. Enter valid username.
2. Enter valid password.
3. Click Login.</x:v>
      </x:c>
      <x:c r="H5" s="38" t="str">
        <x:v>Admin/admin123</x:v>
      </x:c>
      <x:c r="I5" s="38" t="str">
        <x:v>User redirected to Dashboard page.</x:v>
      </x:c>
      <x:c r="J5" s="38" t="str">
        <x:v>Not recorded in source workbook (historical status: Pass).</x:v>
      </x:c>
      <x:c r="K5" s="40" t="str">
        <x:v>High</x:v>
      </x:c>
      <x:c r="L5" s="40" t="str">
        <x:v>Critical</x:v>
      </x:c>
      <x:c r="M5" s="40" t="str">
        <x:v>Functional - Positive</x:v>
      </x:c>
      <x:c r="N5" s="40" t="str">
        <x:v>Pass</x:v>
      </x:c>
      <x:c r="O5" s="40" t="str">
        <x:v>CP-01 — Secure Authentication &amp; Landing | Path sequence: 1/3. Criticality rationale: Successful authentication is the entry point to every protected workflow. Legacy ID: TC_LOGIN_002. Historical source status retained; detailed execution evidence was not recorded.</x:v>
      </x:c>
      <x:c r="P5"/>
      <x:c r="Q5"/>
      <x:c r="R5"/>
      <x:c r="S5"/>
      <x:c r="T5"/>
    </x:row>
    <x:row r="6" ht="72" customHeight="1">
      <x:c r="A6" s="40" t="str">
        <x:v>RQ-DSH-001</x:v>
      </x:c>
      <x:c r="B6" s="40" t="str">
        <x:v>TC-DSH-001</x:v>
      </x:c>
      <x:c r="C6" s="40" t="str">
        <x:v>Dashboard</x:v>
      </x:c>
      <x:c r="D6" s="38" t="str">
        <x:v>Dashboard Widgets</x:v>
      </x:c>
      <x:c r="E6" s="38" t="str">
        <x:v>TS-DSH-001 — Verify Dashboard loads post-login with all widgets</x:v>
      </x:c>
      <x:c r="F6" s="38" t="str">
        <x:v>User is authenticated successfully and the Dashboard is accessible.</x:v>
      </x:c>
      <x:c r="G6" s="38" t="str">
        <x:v>1. Login successfully.</x:v>
      </x:c>
      <x:c r="H6" s="38" t="str">
        <x:v>Valid credentials</x:v>
      </x:c>
      <x:c r="I6" s="38" t="str">
        <x:v>Widgets: Time at Work, My Actions, Quick Launch, Buzz Latest Posts, Employees on Leave Today, Employee Distribution charts displayed.</x:v>
      </x:c>
      <x:c r="J6" s="38" t="str">
        <x:v>Not recorded in source workbook (historical status: Pass).</x:v>
      </x:c>
      <x:c r="K6" s="40" t="str">
        <x:v>High</x:v>
      </x:c>
      <x:c r="L6" s="40" t="str">
        <x:v>High</x:v>
      </x:c>
      <x:c r="M6" s="40" t="str">
        <x:v>UI / Navigation</x:v>
      </x:c>
      <x:c r="N6" s="40" t="str">
        <x:v>Pass</x:v>
      </x:c>
      <x:c r="O6" s="40" t="str">
        <x:v>CP-01 — Secure Authentication &amp; Landing | Path sequence: 2/3. Criticality rationale: Confirms the authenticated user reaches a usable application landing page. Legacy ID: TC_DASH_001. Historical source status retained; detailed execution evidence was not recorded.</x:v>
      </x:c>
      <x:c r="P6"/>
      <x:c r="Q6"/>
      <x:c r="R6"/>
      <x:c r="S6"/>
      <x:c r="T6"/>
    </x:row>
    <x:row r="7" ht="72" customHeight="1">
      <x:c r="A7" s="40" t="str">
        <x:v>RQ-SES-001</x:v>
      </x:c>
      <x:c r="B7" s="40" t="str">
        <x:v>TC-SES-001</x:v>
      </x:c>
      <x:c r="C7" s="40" t="str">
        <x:v>Session</x:v>
      </x:c>
      <x:c r="D7" s="38" t="str">
        <x:v>Logout</x:v>
      </x:c>
      <x:c r="E7" s="38" t="str">
        <x:v>TS-SES-001 — Verify successful logout redirects to Login page</x:v>
      </x:c>
      <x:c r="F7" s="38" t="str">
        <x:v>User is authenticated and an active session exists.</x:v>
      </x:c>
      <x:c r="G7" s="38" t="str">
        <x:v>1. Click profile dropdown.
2. Click Logout.</x:v>
      </x:c>
      <x:c r="H7" s="38" t="str">
        <x:v>N/A</x:v>
      </x:c>
      <x:c r="I7" s="38" t="str">
        <x:v>User logged out and redirected to Login screen.</x:v>
      </x:c>
      <x:c r="J7" s="38" t="str">
        <x:v>Not recorded in source workbook (historical status: Pass).</x:v>
      </x:c>
      <x:c r="K7" s="40" t="str">
        <x:v>High</x:v>
      </x:c>
      <x:c r="L7" s="40" t="str">
        <x:v>High</x:v>
      </x:c>
      <x:c r="M7" s="40" t="str">
        <x:v>Session / Access Control</x:v>
      </x:c>
      <x:c r="N7" s="40" t="str">
        <x:v>Pass</x:v>
      </x:c>
      <x:c r="O7" s="40" t="str">
        <x:v>CP-01 — Secure Authentication &amp; Landing | Path sequence: 3/3. Criticality rationale: Confirms the authenticated session can be terminated safely. Legacy ID: TC_SES_001. Historical source status retained; detailed execution evidence was not recorded.</x:v>
      </x:c>
      <x:c r="P7"/>
      <x:c r="Q7"/>
      <x:c r="R7"/>
      <x:c r="S7"/>
      <x:c r="T7"/>
    </x:row>
    <x:row r="8" ht="72" customHeight="1">
      <x:c r="A8" s="40" t="str">
        <x:v>RQ-PIM-002</x:v>
      </x:c>
      <x:c r="B8" s="40" t="str">
        <x:v>TC-PIM-002</x:v>
      </x:c>
      <x:c r="C8" s="40" t="str">
        <x:v>PIM</x:v>
      </x:c>
      <x:c r="D8" s="38" t="str">
        <x:v>Employee Creation</x:v>
      </x:c>
      <x:c r="E8" s="38" t="str">
        <x:v>TS-PIM-002 — Verify adding new employee with mandatory fields only</x:v>
      </x:c>
      <x:c r="F8" s="38" t="str">
        <x:v>Administrator is authenticated and has access to the PIM module.</x:v>
      </x:c>
      <x:c r="G8" s="38" t="str">
        <x:v>1. Click Add.
2. Enter First/Last Name.
3. Click Save.</x:v>
      </x:c>
      <x:c r="H8" s="38" t="str">
        <x:v>John/Doe</x:v>
      </x:c>
      <x:c r="I8" s="38" t="str">
        <x:v>New employee added, Employee ID auto-generated.</x:v>
      </x:c>
      <x:c r="J8" s="38" t="str">
        <x:v>Not recorded in source workbook (historical status: Pass).</x:v>
      </x:c>
      <x:c r="K8" s="40" t="str">
        <x:v>High</x:v>
      </x:c>
      <x:c r="L8" s="40" t="str">
        <x:v>High</x:v>
      </x:c>
      <x:c r="M8" s="40" t="str">
        <x:v>Functional - Positive</x:v>
      </x:c>
      <x:c r="N8" s="40" t="str">
        <x:v>Pass</x:v>
      </x:c>
      <x:c r="O8" s="40" t="str">
        <x:v>CP-02 — Employee Onboarding &amp; Access Provisioning | Path sequence: 1/4. Criticality rationale: Creates the employee master record required by downstream HR processes. Legacy ID: TC_PIM_002. Historical source status retained; detailed execution evidence was not recorded.</x:v>
      </x:c>
      <x:c r="P8"/>
      <x:c r="Q8"/>
      <x:c r="R8"/>
      <x:c r="S8"/>
      <x:c r="T8"/>
    </x:row>
    <x:row r="9" ht="72" customHeight="1">
      <x:c r="A9" s="40" t="str">
        <x:v>RQ-PIM-005</x:v>
      </x:c>
      <x:c r="B9" s="40" t="str">
        <x:v>TC-PIM-005</x:v>
      </x:c>
      <x:c r="C9" s="40" t="str">
        <x:v>PIM</x:v>
      </x:c>
      <x:c r="D9" s="38" t="str">
        <x:v>Employee Login Details</x:v>
      </x:c>
      <x:c r="E9" s="38" t="str">
        <x:v>TS-PIM-005 — Verify creating login details for an employee</x:v>
      </x:c>
      <x:c r="F9" s="38" t="str">
        <x:v>Administrator is authenticated; PIM &gt; Add Employee is accessible; unique ESS username/password test data is available.</x:v>
      </x:c>
      <x:c r="G9" s="38" t="str">
        <x:v>1. Add employee.
2. Enable Create Login Details toggle.
3. Enter username/password.
4. Save.</x:v>
      </x:c>
      <x:c r="H9" s="38" t="str">
        <x:v>Valid credentials</x:v>
      </x:c>
      <x:c r="I9" s="38" t="str">
        <x:v>Employee created with ESS login access.</x:v>
      </x:c>
      <x:c r="J9" s="38" t="str">
        <x:v>Not recorded in source workbook (historical status: Pass).</x:v>
      </x:c>
      <x:c r="K9" s="40" t="str">
        <x:v>High</x:v>
      </x:c>
      <x:c r="L9" s="40" t="str">
        <x:v>High</x:v>
      </x:c>
      <x:c r="M9" s="40" t="str">
        <x:v>Functional - Positive</x:v>
      </x:c>
      <x:c r="N9" s="40" t="str">
        <x:v>Pass</x:v>
      </x:c>
      <x:c r="O9" s="40" t="str">
        <x:v>CP-02 — Employee Onboarding &amp; Access Provisioning | Path sequence: 2/4. Criticality rationale: Provides employee login access required for employee self-service. Legacy ID: TC_PIM_005. Historical source status retained; detailed execution evidence was not recorded.</x:v>
      </x:c>
      <x:c r="P9"/>
      <x:c r="Q9"/>
      <x:c r="R9"/>
      <x:c r="S9"/>
      <x:c r="T9"/>
    </x:row>
    <x:row r="10" ht="72" customHeight="1">
      <x:c r="A10" s="40" t="str">
        <x:v>RQ-ADM-002</x:v>
      </x:c>
      <x:c r="B10" s="40" t="str">
        <x:v>TC-ADM-002</x:v>
      </x:c>
      <x:c r="C10" s="40" t="str">
        <x:v>Admin</x:v>
      </x:c>
      <x:c r="D10" s="38" t="str">
        <x:v>System User Creation</x:v>
      </x:c>
      <x:c r="E10" s="38" t="str">
        <x:v>TS-ADM-002 — Verify adding a new system user with valid data</x:v>
      </x:c>
      <x:c r="F10" s="38" t="str">
        <x:v>Administrator is authenticated; Admin &gt; System Users is accessible; an eligible employee exists; a unique test username is available.</x:v>
      </x:c>
      <x:c r="G10" s="38" t="str">
        <x:v>1. Click Add.
2. Select User Role, Employee Name, Status.
3. Enter Username &amp; Password.
4. Click Save.</x:v>
      </x:c>
      <x:c r="H10" s="38" t="str">
        <x:v>Role: ESS, valid employee, unique username</x:v>
      </x:c>
      <x:c r="I10" s="38" t="str">
        <x:v>New user created and listed in System Users grid.</x:v>
      </x:c>
      <x:c r="J10" s="38" t="str">
        <x:v>Not recorded in source workbook (historical status: Pass).</x:v>
      </x:c>
      <x:c r="K10" s="40" t="str">
        <x:v>High</x:v>
      </x:c>
      <x:c r="L10" s="40" t="str">
        <x:v>High</x:v>
      </x:c>
      <x:c r="M10" s="40" t="str">
        <x:v>Functional - Positive</x:v>
      </x:c>
      <x:c r="N10" s="40" t="str">
        <x:v>Pass</x:v>
      </x:c>
      <x:c r="O10" s="40" t="str">
        <x:v>CP-02 — Employee Onboarding &amp; Access Provisioning | Path sequence: 3/4. Criticality rationale: Validates system-user provisioning through administration. Legacy ID: TC_ADM_002. Historical source status retained; detailed execution evidence was not recorded.</x:v>
      </x:c>
      <x:c r="P10"/>
      <x:c r="Q10"/>
      <x:c r="R10"/>
      <x:c r="S10"/>
      <x:c r="T10"/>
    </x:row>
    <x:row r="11" ht="72" customHeight="1">
      <x:c r="A11" s="40" t="str">
        <x:v>RQ-PIM-013</x:v>
      </x:c>
      <x:c r="B11" s="40" t="str">
        <x:v>TC-PIM-013</x:v>
      </x:c>
      <x:c r="C11" s="40" t="str">
        <x:v>PIM</x:v>
      </x:c>
      <x:c r="D11" s="38" t="str">
        <x:v>Employee Search by Name</x:v>
      </x:c>
      <x:c r="E11" s="38" t="str">
        <x:v>TS-PIM-013 — Verify searching employee by Employee Name</x:v>
      </x:c>
      <x:c r="F11" s="38" t="str">
        <x:v>Administrator is authenticated; an employee with a known searchable name exists.</x:v>
      </x:c>
      <x:c r="G11" s="38" t="str">
        <x:v>1. Enter name in search filter.
2. Click Search.</x:v>
      </x:c>
      <x:c r="H11" s="38" t="str">
        <x:v>John</x:v>
      </x:c>
      <x:c r="I11" s="38" t="str">
        <x:v>Matching employee(s) displayed in grid.</x:v>
      </x:c>
      <x:c r="J11" s="38" t="str">
        <x:v>Not recorded in source workbook (historical status: Pass).</x:v>
      </x:c>
      <x:c r="K11" s="40" t="str">
        <x:v>Medium</x:v>
      </x:c>
      <x:c r="L11" s="40" t="str">
        <x:v>Medium</x:v>
      </x:c>
      <x:c r="M11" s="40" t="str">
        <x:v>Functional - Positive</x:v>
      </x:c>
      <x:c r="N11" s="40" t="str">
        <x:v>Pass</x:v>
      </x:c>
      <x:c r="O11" s="40" t="str">
        <x:v>CP-02 — Employee Onboarding &amp; Access Provisioning | Path sequence: 4/4. Criticality rationale: Confirms the employee can be retrieved for subsequent HR processing. Legacy ID: TC_PIM_013. Historical source status retained; detailed execution evidence was not recorded.</x:v>
      </x:c>
      <x:c r="P11"/>
      <x:c r="Q11"/>
      <x:c r="R11"/>
      <x:c r="S11"/>
      <x:c r="T11"/>
    </x:row>
    <x:row r="12" ht="72" customHeight="1">
      <x:c r="A12" s="40" t="str">
        <x:v>RQ-LEV-002</x:v>
      </x:c>
      <x:c r="B12" s="40" t="str">
        <x:v>TC-LEV-002</x:v>
      </x:c>
      <x:c r="C12" s="40" t="str">
        <x:v>Leave</x:v>
      </x:c>
      <x:c r="D12" s="38" t="str">
        <x:v>Leave Application</x:v>
      </x:c>
      <x:c r="E12" s="38" t="str">
        <x:v>TS-LEV-002 — Verify applying for leave with valid dates</x:v>
      </x:c>
      <x:c r="F12" s="38" t="str">
        <x:v>Authenticated employee has Leave access; a valid leave type/entitlement and valid future dates are available.</x:v>
      </x:c>
      <x:c r="G12" s="38" t="str">
        <x:v>1. Click Apply.
2. Select Leave Type.
3. Select From/To date.
4. Submit.</x:v>
      </x:c>
      <x:c r="H12" s="38" t="str">
        <x:v>Leave Type: Annual, valid future dates</x:v>
      </x:c>
      <x:c r="I12" s="38" t="str">
        <x:v>Leave application submitted successfully.</x:v>
      </x:c>
      <x:c r="J12" s="38" t="str">
        <x:v>Not recorded in source workbook (historical status: Pass).</x:v>
      </x:c>
      <x:c r="K12" s="40" t="str">
        <x:v>High</x:v>
      </x:c>
      <x:c r="L12" s="40" t="str">
        <x:v>High</x:v>
      </x:c>
      <x:c r="M12" s="40" t="str">
        <x:v>Functional - Positive</x:v>
      </x:c>
      <x:c r="N12" s="40" t="str">
        <x:v>Pass</x:v>
      </x:c>
      <x:c r="O12" s="40" t="str">
        <x:v>CP-03 — Leave Request-to-Approval | Path sequence: 1/3. Criticality rationale: Creates an employee leave request and initiates the approval lifecycle. Legacy ID: TC_LV_002. Historical source status retained; detailed execution evidence was not recorded.</x:v>
      </x:c>
      <x:c r="P12"/>
      <x:c r="Q12"/>
      <x:c r="R12"/>
      <x:c r="S12"/>
      <x:c r="T12"/>
    </x:row>
    <x:row r="13" ht="72" customHeight="1">
      <x:c r="A13" s="40" t="str">
        <x:v>RQ-LEV-005</x:v>
      </x:c>
      <x:c r="B13" s="40" t="str">
        <x:v>TC-LEV-005</x:v>
      </x:c>
      <x:c r="C13" s="40" t="str">
        <x:v>Leave</x:v>
      </x:c>
      <x:c r="D13" s="38" t="str">
        <x:v>Leave List</x:v>
      </x:c>
      <x:c r="E13" s="38" t="str">
        <x:v>TS-LEV-005 — Verify Leave List displays submitted leave requests</x:v>
      </x:c>
      <x:c r="F13" s="38" t="str">
        <x:v>Authenticated user has Leave List access and submitted leave records exist.</x:v>
      </x:c>
      <x:c r="G13" s="38" t="str">
        <x:v>1. Navigate to Leave List.
2. Apply filters.</x:v>
      </x:c>
      <x:c r="H13" s="38" t="str">
        <x:v>N/A</x:v>
      </x:c>
      <x:c r="I13" s="38" t="str">
        <x:v>Matching leave requests displayed with status.</x:v>
      </x:c>
      <x:c r="J13" s="38" t="str">
        <x:v>Not recorded in source workbook (historical status: Pass).</x:v>
      </x:c>
      <x:c r="K13" s="40" t="str">
        <x:v>Medium</x:v>
      </x:c>
      <x:c r="L13" s="40" t="str">
        <x:v>Medium</x:v>
      </x:c>
      <x:c r="M13" s="40" t="str">
        <x:v>Functional - Positive</x:v>
      </x:c>
      <x:c r="N13" s="40" t="str">
        <x:v>Pass</x:v>
      </x:c>
      <x:c r="O13" s="40" t="str">
        <x:v>CP-03 — Leave Request-to-Approval | Path sequence: 2/3. Criticality rationale: Confirms submitted leave is visible to the approving workflow. Legacy ID: TC_LV_005. Historical source status retained; detailed execution evidence was not recorded.</x:v>
      </x:c>
      <x:c r="P13"/>
      <x:c r="Q13"/>
      <x:c r="R13"/>
      <x:c r="S13"/>
      <x:c r="T13"/>
    </x:row>
    <x:row r="14" ht="72" customHeight="1">
      <x:c r="A14" s="40" t="str">
        <x:v>RQ-LEV-006</x:v>
      </x:c>
      <x:c r="B14" s="40" t="str">
        <x:v>TC-LEV-006</x:v>
      </x:c>
      <x:c r="C14" s="40" t="str">
        <x:v>Leave</x:v>
      </x:c>
      <x:c r="D14" s="38" t="str">
        <x:v>Leave Approval</x:v>
      </x:c>
      <x:c r="E14" s="38" t="str">
        <x:v>TS-LEV-006 — Verify Admin can approve a pending leave request</x:v>
      </x:c>
      <x:c r="F14" s="38" t="str">
        <x:v>Administrator is authenticated; a pending leave request exists and is eligible for approval.</x:v>
      </x:c>
      <x:c r="G14" s="38" t="str">
        <x:v>1. Navigate to Leave List.
2. Select pending leave.
3. Change status to Approved.</x:v>
      </x:c>
      <x:c r="H14" s="38" t="str">
        <x:v>Pending leave record</x:v>
      </x:c>
      <x:c r="I14" s="38" t="str">
        <x:v>Status updated to "Approved".</x:v>
      </x:c>
      <x:c r="J14" s="38" t="str">
        <x:v>Not recorded in source workbook (historical status: Pass).</x:v>
      </x:c>
      <x:c r="K14" s="40" t="str">
        <x:v>High</x:v>
      </x:c>
      <x:c r="L14" s="40" t="str">
        <x:v>High</x:v>
      </x:c>
      <x:c r="M14" s="40" t="str">
        <x:v>Functional - Positive</x:v>
      </x:c>
      <x:c r="N14" s="40" t="str">
        <x:v>Pass</x:v>
      </x:c>
      <x:c r="O14" s="40" t="str">
        <x:v>CP-03 — Leave Request-to-Approval | Path sequence: 3/3. Criticality rationale: Completes the critical leave approval transaction. Legacy ID: TC_LV_006. Historical source status retained; detailed execution evidence was not recorded.</x:v>
      </x:c>
      <x:c r="P14"/>
      <x:c r="Q14"/>
      <x:c r="R14"/>
      <x:c r="S14"/>
      <x:c r="T14"/>
    </x:row>
    <x:row r="15" ht="72" customHeight="1">
      <x:c r="A15" s="40" t="str">
        <x:v>RQ-TIM-002</x:v>
      </x:c>
      <x:c r="B15" s="40" t="str">
        <x:v>TC-TIM-002</x:v>
      </x:c>
      <x:c r="C15" s="40" t="str">
        <x:v>Time</x:v>
      </x:c>
      <x:c r="D15" s="38" t="str">
        <x:v>Timesheet Entry</x:v>
      </x:c>
      <x:c r="E15" s="38" t="str">
        <x:v>TS-TIM-002 — Verify creating a new timesheet entry</x:v>
      </x:c>
      <x:c r="F15" s="38" t="str">
        <x:v>Authenticated user has Time access; an active project/activity is available for timesheet entry.</x:v>
      </x:c>
      <x:c r="G15" s="38" t="str">
        <x:v>1. Click Timesheets.
2. Add project/activity.
3. Enter hours.
4. Save.</x:v>
      </x:c>
      <x:c r="H15" s="38" t="str">
        <x:v>Project X, 8 hrs</x:v>
      </x:c>
      <x:c r="I15" s="38" t="str">
        <x:v>Entry saved in timesheet grid.</x:v>
      </x:c>
      <x:c r="J15" s="38" t="str">
        <x:v>Not recorded in source workbook (historical status: Pass).</x:v>
      </x:c>
      <x:c r="K15" s="40" t="str">
        <x:v>High</x:v>
      </x:c>
      <x:c r="L15" s="40" t="str">
        <x:v>High</x:v>
      </x:c>
      <x:c r="M15" s="40" t="str">
        <x:v>Functional - Positive</x:v>
      </x:c>
      <x:c r="N15" s="40" t="str">
        <x:v>Pass</x:v>
      </x:c>
      <x:c r="O15" s="40" t="str">
        <x:v>CP-04 — Timesheet Entry-to-Approval | Path sequence: 1/3. Criticality rationale: Creates time data used by the approval workflow. Legacy ID: TC_TM_002. Historical source status retained; detailed execution evidence was not recorded.</x:v>
      </x:c>
      <x:c r="P15"/>
      <x:c r="Q15"/>
      <x:c r="R15"/>
      <x:c r="S15"/>
      <x:c r="T15"/>
    </x:row>
    <x:row r="16" ht="72" customHeight="1">
      <x:c r="A16" s="40" t="str">
        <x:v>RQ-TIM-003</x:v>
      </x:c>
      <x:c r="B16" s="40" t="str">
        <x:v>TC-TIM-003</x:v>
      </x:c>
      <x:c r="C16" s="40" t="str">
        <x:v>Time</x:v>
      </x:c>
      <x:c r="D16" s="38" t="str">
        <x:v>Timesheet Submission</x:v>
      </x:c>
      <x:c r="E16" s="38" t="str">
        <x:v>TS-TIM-003 — Verify submitting a timesheet for approval</x:v>
      </x:c>
      <x:c r="F16" s="38" t="str">
        <x:v>Authenticated user has a complete saved timesheet eligible for submission.</x:v>
      </x:c>
      <x:c r="G16" s="38" t="str">
        <x:v>1. Fill timesheet.
2. Click Submit.</x:v>
      </x:c>
      <x:c r="H16" s="38" t="str">
        <x:v>Complete week's hours</x:v>
      </x:c>
      <x:c r="I16" s="38" t="str">
        <x:v>Timesheet status changes to "Submitted".</x:v>
      </x:c>
      <x:c r="J16" s="38" t="str">
        <x:v>Not recorded in source workbook (historical status: Pass).</x:v>
      </x:c>
      <x:c r="K16" s="40" t="str">
        <x:v>High</x:v>
      </x:c>
      <x:c r="L16" s="40" t="str">
        <x:v>High</x:v>
      </x:c>
      <x:c r="M16" s="40" t="str">
        <x:v>Functional - Positive</x:v>
      </x:c>
      <x:c r="N16" s="40" t="str">
        <x:v>Pass</x:v>
      </x:c>
      <x:c r="O16" s="40" t="str">
        <x:v>CP-04 — Timesheet Entry-to-Approval | Path sequence: 2/3. Criticality rationale: Moves a completed timesheet into the approval state. Legacy ID: TC_TM_003. Historical source status retained; detailed execution evidence was not recorded.</x:v>
      </x:c>
      <x:c r="P16"/>
      <x:c r="Q16"/>
      <x:c r="R16"/>
      <x:c r="S16"/>
      <x:c r="T16"/>
    </x:row>
    <x:row r="17" ht="72" customHeight="1">
      <x:c r="A17" s="40" t="str">
        <x:v>RQ-TIM-004</x:v>
      </x:c>
      <x:c r="B17" s="40" t="str">
        <x:v>TC-TIM-004</x:v>
      </x:c>
      <x:c r="C17" s="40" t="str">
        <x:v>Time</x:v>
      </x:c>
      <x:c r="D17" s="38" t="str">
        <x:v>Timesheet Approval</x:v>
      </x:c>
      <x:c r="E17" s="38" t="str">
        <x:v>TS-TIM-004 — Verify Admin can approve submitted timesheet</x:v>
      </x:c>
      <x:c r="F17" s="38" t="str">
        <x:v>Administrator is authenticated; a submitted timesheet exists and is eligible for approval.</x:v>
      </x:c>
      <x:c r="G17" s="38" t="str">
        <x:v>1. Navigate to submitted timesheet.
2. Click Approve.</x:v>
      </x:c>
      <x:c r="H17" s="38" t="str">
        <x:v>Submitted timesheet</x:v>
      </x:c>
      <x:c r="I17" s="38" t="str">
        <x:v>Status changes to "Approved".</x:v>
      </x:c>
      <x:c r="J17" s="38" t="str">
        <x:v>Not recorded in source workbook (historical status: Pass).</x:v>
      </x:c>
      <x:c r="K17" s="40" t="str">
        <x:v>High</x:v>
      </x:c>
      <x:c r="L17" s="40" t="str">
        <x:v>High</x:v>
      </x:c>
      <x:c r="M17" s="40" t="str">
        <x:v>Functional - Positive</x:v>
      </x:c>
      <x:c r="N17" s="40" t="str">
        <x:v>Pass</x:v>
      </x:c>
      <x:c r="O17" s="40" t="str">
        <x:v>CP-04 — Timesheet Entry-to-Approval | Path sequence: 3/3. Criticality rationale: Completes the manager/admin timesheet approval lifecycle. Legacy ID: TC_TM_004. Historical source status retained; detailed execution evidence was not recorded.</x:v>
      </x:c>
      <x:c r="P17"/>
      <x:c r="Q17"/>
      <x:c r="R17"/>
      <x:c r="S17"/>
      <x:c r="T17"/>
    </x:row>
    <x:row r="18" ht="72" customHeight="1">
      <x:c r="A18" s="40" t="str">
        <x:v>RQ-REC-006</x:v>
      </x:c>
      <x:c r="B18" s="40" t="str">
        <x:v>TC-REC-006</x:v>
      </x:c>
      <x:c r="C18" s="40" t="str">
        <x:v>Recruitment</x:v>
      </x:c>
      <x:c r="D18" s="38" t="str">
        <x:v>Vacancy Creation</x:v>
      </x:c>
      <x:c r="E18" s="38" t="str">
        <x:v>TS-REC-006 — Verify adding a new Vacancy</x:v>
      </x:c>
      <x:c r="F18" s="38" t="str">
        <x:v>Authorized user is authenticated; Vacancies is accessible; a valid job title and hiring manager exist.</x:v>
      </x:c>
      <x:c r="G18" s="38" t="str">
        <x:v>1. Navigate to Vacancies &gt; Add.
2. Enter Job Title, Hiring Manager.
3. Save.</x:v>
      </x:c>
      <x:c r="H18" s="38" t="str">
        <x:v>Job Title: QA Engineer</x:v>
      </x:c>
      <x:c r="I18" s="38" t="str">
        <x:v>Vacancy created and listed.</x:v>
      </x:c>
      <x:c r="J18" s="38" t="str">
        <x:v>Not recorded in source workbook (historical status: Pass).</x:v>
      </x:c>
      <x:c r="K18" s="40" t="str">
        <x:v>High</x:v>
      </x:c>
      <x:c r="L18" s="40" t="str">
        <x:v>High</x:v>
      </x:c>
      <x:c r="M18" s="40" t="str">
        <x:v>Functional - Positive</x:v>
      </x:c>
      <x:c r="N18" s="40" t="str">
        <x:v>Pass</x:v>
      </x:c>
      <x:c r="O18" s="40" t="str">
        <x:v>CP-05 — Recruitment Vacancy-to-Candidate Progression | Path sequence: 1/3. Criticality rationale: Creates the vacancy required before candidate processing. Legacy ID: TC_REC_006. Historical source status retained; detailed execution evidence was not recorded.</x:v>
      </x:c>
      <x:c r="P18"/>
      <x:c r="Q18"/>
      <x:c r="R18"/>
      <x:c r="S18"/>
      <x:c r="T18"/>
    </x:row>
    <x:row r="19" ht="72" customHeight="1">
      <x:c r="A19" s="40" t="str">
        <x:v>RQ-REC-002</x:v>
      </x:c>
      <x:c r="B19" s="40" t="str">
        <x:v>TC-REC-002</x:v>
      </x:c>
      <x:c r="C19" s="40" t="str">
        <x:v>Recruitment</x:v>
      </x:c>
      <x:c r="D19" s="38" t="str">
        <x:v>Candidate Creation</x:v>
      </x:c>
      <x:c r="E19" s="38" t="str">
        <x:v>TS-REC-002 — Verify adding a new candidate with valid details</x:v>
      </x:c>
      <x:c r="F19" s="38" t="str">
        <x:v>Authorized user is authenticated; Recruitment &gt; Candidates is accessible; an active vacancy is available.</x:v>
      </x:c>
      <x:c r="G19" s="38" t="str">
        <x:v>1. Click Add.
2. Enter Name, Email, Vacancy.
3. Save.</x:v>
      </x:c>
      <x:c r="H19" s="38" t="str">
        <x:v>John Smith, valid email, vacancy selected</x:v>
      </x:c>
      <x:c r="I19" s="38" t="str">
        <x:v>Candidate added to Candidates list.</x:v>
      </x:c>
      <x:c r="J19" s="38" t="str">
        <x:v>Not recorded in source workbook (historical status: Pass).</x:v>
      </x:c>
      <x:c r="K19" s="40" t="str">
        <x:v>High</x:v>
      </x:c>
      <x:c r="L19" s="40" t="str">
        <x:v>High</x:v>
      </x:c>
      <x:c r="M19" s="40" t="str">
        <x:v>Functional - Positive</x:v>
      </x:c>
      <x:c r="N19" s="40" t="str">
        <x:v>Pass</x:v>
      </x:c>
      <x:c r="O19" s="40" t="str">
        <x:v>CP-05 — Recruitment Vacancy-to-Candidate Progression | Path sequence: 2/3. Criticality rationale: Creates a candidate within the recruitment process. Legacy ID: TC_REC_002. Historical source status retained; detailed execution evidence was not recorded.</x:v>
      </x:c>
      <x:c r="P19"/>
      <x:c r="Q19"/>
      <x:c r="R19"/>
      <x:c r="S19"/>
      <x:c r="T19"/>
    </x:row>
    <x:row r="20" ht="72" customHeight="1">
      <x:c r="A20" s="40" t="str">
        <x:v>RQ-REC-007</x:v>
      </x:c>
      <x:c r="B20" s="40" t="str">
        <x:v>TC-REC-007</x:v>
      </x:c>
      <x:c r="C20" s="40" t="str">
        <x:v>Recruitment</x:v>
      </x:c>
      <x:c r="D20" s="38" t="str">
        <x:v>Candidate Workflow</x:v>
      </x:c>
      <x:c r="E20" s="38" t="str">
        <x:v>TS-REC-007 — Verify changing candidate status through recruitment pipeline</x:v>
      </x:c>
      <x:c r="F20" s="38" t="str">
        <x:v>Authorized user is authenticated; a candidate exists in a status that can move to Shortlisted.</x:v>
      </x:c>
      <x:c r="G20" s="38" t="str">
        <x:v>1. Open candidate.
2. Change status.
3. Save.</x:v>
      </x:c>
      <x:c r="H20" s="38" t="str">
        <x:v>Status change to "Shortlisted"</x:v>
      </x:c>
      <x:c r="I20" s="38" t="str">
        <x:v>Status updated and history logged.</x:v>
      </x:c>
      <x:c r="J20" s="38" t="str">
        <x:v>Not recorded in source workbook (historical status: Pass).</x:v>
      </x:c>
      <x:c r="K20" s="40" t="str">
        <x:v>High</x:v>
      </x:c>
      <x:c r="L20" s="40" t="str">
        <x:v>High</x:v>
      </x:c>
      <x:c r="M20" s="40" t="str">
        <x:v>Functional - Positive</x:v>
      </x:c>
      <x:c r="N20" s="40" t="str">
        <x:v>Pass</x:v>
      </x:c>
      <x:c r="O20" s="40" t="str">
        <x:v>CP-05 — Recruitment Vacancy-to-Candidate Progression | Path sequence: 3/3. Criticality rationale: Confirms candidates can progress through the recruitment pipeline. Legacy ID: TC_REC_007. Historical source status retained; detailed execution evidence was not recorded.</x:v>
      </x:c>
      <x:c r="P20"/>
      <x:c r="Q20"/>
      <x:c r="R20"/>
      <x:c r="S20"/>
      <x:c r="T20"/>
    </x:row>
    <x:row r="21" ht="72" customHeight="1">
      <x:c r="A21" s="40" t="str">
        <x:v>RQ-MYI-001</x:v>
      </x:c>
      <x:c r="B21" s="40" t="str">
        <x:v>TC-MYI-001</x:v>
      </x:c>
      <x:c r="C21" s="40" t="str">
        <x:v>My Info</x:v>
      </x:c>
      <x:c r="D21" s="38" t="str">
        <x:v>Personal Details</x:v>
      </x:c>
      <x:c r="E21" s="38" t="str">
        <x:v>TS-MYI-001 — Verify My Info displays logged-in employee's personal details</x:v>
      </x:c>
      <x:c r="F21" s="38" t="str">
        <x:v>Authenticated employee has access to My Info.</x:v>
      </x:c>
      <x:c r="G21" s="38" t="str">
        <x:v>1. Navigate to My Info.</x:v>
      </x:c>
      <x:c r="H21" s="38" t="str">
        <x:v>N/A</x:v>
      </x:c>
      <x:c r="I21" s="38" t="str">
        <x:v>Personal details of logged-in user displayed.</x:v>
      </x:c>
      <x:c r="J21" s="38" t="str">
        <x:v>Not recorded in source workbook (historical status: Pass).</x:v>
      </x:c>
      <x:c r="K21" s="40" t="str">
        <x:v>High</x:v>
      </x:c>
      <x:c r="L21" s="40" t="str">
        <x:v>High</x:v>
      </x:c>
      <x:c r="M21" s="40" t="str">
        <x:v>Functional - Positive</x:v>
      </x:c>
      <x:c r="N21" s="40" t="str">
        <x:v>Pass</x:v>
      </x:c>
      <x:c r="O21" s="40" t="str">
        <x:v>CP-06 — Employee Self-Service &amp; Authorization | Path sequence: 1/2. Criticality rationale: Confirms employees can access their own personal information. Legacy ID: TC_MI_001. Historical source status retained; detailed execution evidence was not recorded.</x:v>
      </x:c>
      <x:c r="P21"/>
      <x:c r="Q21"/>
      <x:c r="R21"/>
      <x:c r="S21"/>
      <x:c r="T21"/>
    </x:row>
    <x:row r="22" ht="72" customHeight="1">
      <x:c r="A22" s="40" t="str">
        <x:v>RQ-MYI-004</x:v>
      </x:c>
      <x:c r="B22" s="40" t="str">
        <x:v>TC-MYI-004</x:v>
      </x:c>
      <x:c r="C22" s="40" t="str">
        <x:v>My Info</x:v>
      </x:c>
      <x:c r="D22" s="38" t="str">
        <x:v>Role Permissions</x:v>
      </x:c>
      <x:c r="E22" s="38" t="str">
        <x:v>TS-MYI-004 — Verify My Info restricts editing of Job/Salary details for ESS user</x:v>
      </x:c>
      <x:c r="F22" s="38" t="str">
        <x:v>ESS user account is available and authenticated; My Info &gt; Job/Salary areas are accessible for permission verification.</x:v>
      </x:c>
      <x:c r="G22" s="38" t="str">
        <x:v>1. Login as ESS user.
2. Navigate to Job tab.</x:v>
      </x:c>
      <x:c r="H22" s="38" t="str">
        <x:v>ESS user login</x:v>
      </x:c>
      <x:c r="I22" s="38" t="str">
        <x:v>Fields read-only/restricted based on permission.</x:v>
      </x:c>
      <x:c r="J22" s="38" t="str">
        <x:v>Not recorded in source workbook (historical status: Fail).</x:v>
      </x:c>
      <x:c r="K22" s="40" t="str">
        <x:v>High</x:v>
      </x:c>
      <x:c r="L22" s="40" t="str">
        <x:v>High</x:v>
      </x:c>
      <x:c r="M22" s="40" t="str">
        <x:v>Role / Permission</x:v>
      </x:c>
      <x:c r="N22" s="40" t="str">
        <x:v>Fail</x:v>
      </x:c>
      <x:c r="O22" s="40" t="str">
        <x:v>CP-06 — Employee Self-Service &amp; Authorization | Path sequence: 2/2. Criticality rationale: Protects sensitive Job/Salary data from unauthorized ESS modification. Legacy ID: TC_MI_004. Source failure retained; controlled triage is required before defect confirmation.</x:v>
      </x:c>
      <x:c r="P22"/>
      <x:c r="Q22"/>
      <x:c r="R22"/>
      <x:c r="S22"/>
      <x:c r="T22"/>
    </x:row>
    <x:row r="23" ht="72" customHeight="1">
      <x:c r="A23" s="40" t="str">
        <x:v>RQ-DIR-002</x:v>
      </x:c>
      <x:c r="B23" s="40" t="str">
        <x:v>TC-DIR-002</x:v>
      </x:c>
      <x:c r="C23" s="40" t="str">
        <x:v>Directory</x:v>
      </x:c>
      <x:c r="D23" s="38" t="str">
        <x:v>Employee Search</x:v>
      </x:c>
      <x:c r="E23" s="38" t="str">
        <x:v>TS-DIR-002 — Verify searching directory by Employee Name</x:v>
      </x:c>
      <x:c r="F23" s="38" t="str">
        <x:v>Authenticated user has Directory access; an employee with a known searchable name exists.</x:v>
      </x:c>
      <x:c r="G23" s="38" t="str">
        <x:v>1. Enter name in search.
2. Click Search.</x:v>
      </x:c>
      <x:c r="H23" s="38" t="str">
        <x:v>John</x:v>
      </x:c>
      <x:c r="I23" s="38" t="str">
        <x:v>Matching employee(s) with job title &amp; location shown.</x:v>
      </x:c>
      <x:c r="J23" s="38" t="str">
        <x:v>Not recorded in source workbook (historical status: Pass).</x:v>
      </x:c>
      <x:c r="K23" s="40" t="str">
        <x:v>Medium</x:v>
      </x:c>
      <x:c r="L23" s="40" t="str">
        <x:v>Medium</x:v>
      </x:c>
      <x:c r="M23" s="40" t="str">
        <x:v>Functional - Positive</x:v>
      </x:c>
      <x:c r="N23" s="40" t="str">
        <x:v>Pass</x:v>
      </x:c>
      <x:c r="O23" s="40" t="str">
        <x:v>CP-07 — Employee Directory Search | Path sequence: 1/1. Criticality rationale: Confirms employees can locate colleagues by name. Legacy ID: TC_DIR_002. Historical source status retained; detailed execution evidence was not recorded.</x:v>
      </x:c>
      <x:c r="P23"/>
      <x:c r="Q23"/>
      <x:c r="R23"/>
      <x:c r="S23"/>
      <x:c r="T23"/>
    </x:row>
    <x:row r="24" ht="72" customHeight="1">
      <x:c r="A24" s="40" t="str">
        <x:v>RQ-PRF-002</x:v>
      </x:c>
      <x:c r="B24" s="40" t="str">
        <x:v>TC-PRF-002</x:v>
      </x:c>
      <x:c r="C24" s="40" t="str">
        <x:v>Performance</x:v>
      </x:c>
      <x:c r="D24" s="38" t="str">
        <x:v>Performance Reviews</x:v>
      </x:c>
      <x:c r="E24" s="38" t="str">
        <x:v>TS-PRF-002 — Verify adding a new Performance Review</x:v>
      </x:c>
      <x:c r="F24" s="38" t="str">
        <x:v>Authorized user is authenticated; valid employee, reviewer, and review dates are available.</x:v>
      </x:c>
      <x:c r="G24" s="38" t="str">
        <x:v>1. Click Manage Reviews &gt; Add.
2. Select employee, reviewer, dates.
3. Save.</x:v>
      </x:c>
      <x:c r="H24" s="38" t="str">
        <x:v>Valid employee &amp; date range</x:v>
      </x:c>
      <x:c r="I24" s="38" t="str">
        <x:v>Review created and listed.</x:v>
      </x:c>
      <x:c r="J24" s="38" t="str">
        <x:v>Not recorded in source workbook (historical status: Pass).</x:v>
      </x:c>
      <x:c r="K24" s="40" t="str">
        <x:v>High</x:v>
      </x:c>
      <x:c r="L24" s="40" t="str">
        <x:v>High</x:v>
      </x:c>
      <x:c r="M24" s="40" t="str">
        <x:v>Functional - Positive</x:v>
      </x:c>
      <x:c r="N24" s="40" t="str">
        <x:v>Pass</x:v>
      </x:c>
      <x:c r="O24" s="40" t="str">
        <x:v>CP-08 — Performance Review Creation | Path sequence: 1/1. Criticality rationale: Confirms the core performance review record can be created. Legacy ID: TC_PERF_002. Historical source status retained; detailed execution evidence was not recorded.</x:v>
      </x:c>
      <x:c r="P24"/>
      <x:c r="Q24"/>
      <x:c r="R24"/>
      <x:c r="S24"/>
      <x:c r="T24"/>
    </x:row>
    <x:row r="25">
      <x:c r="P25" s="43"/>
    </x:row>
    <x:row r="26">
      <x:c r="P26" s="43"/>
    </x:row>
    <x:row r="27">
      <x:c r="P27" s="43"/>
    </x:row>
    <x:row r="28">
      <x:c r="P28" s="43"/>
    </x:row>
    <x:row r="29">
      <x:c r="P29" s="43"/>
    </x:row>
    <x:row r="30">
      <x:c r="P30" s="43"/>
    </x:row>
    <x:row r="31">
      <x:c r="P31" s="43"/>
    </x:row>
    <x:row r="32">
      <x:c r="P32" s="43"/>
    </x:row>
    <x:row r="33">
      <x:c r="P33" s="43"/>
    </x:row>
    <x:row r="34">
      <x:c r="P34" s="43"/>
    </x:row>
    <x:row r="35">
      <x:c r="P35" s="43"/>
    </x:row>
    <x:row r="36">
      <x:c r="P36" s="43"/>
    </x:row>
    <x:row r="37">
      <x:c r="P37" s="43"/>
    </x:row>
    <x:row r="38">
      <x:c r="P38" s="43"/>
    </x:row>
    <x:row r="39">
      <x:c r="P39" s="43"/>
    </x:row>
    <x:row r="40">
      <x:c r="P40" s="43"/>
    </x:row>
    <x:row r="41">
      <x:c r="P41" s="43"/>
    </x:row>
    <x:row r="42">
      <x:c r="P42" s="43"/>
    </x:row>
    <x:row r="43">
      <x:c r="P43" s="43"/>
    </x:row>
    <x:row r="44">
      <x:c r="P44" s="43"/>
    </x:row>
    <x:row r="45">
      <x:c r="P45" s="43"/>
    </x:row>
    <x:row r="46">
      <x:c r="P46" s="43"/>
    </x:row>
    <x:row r="47">
      <x:c r="P47" s="43"/>
    </x:row>
    <x:row r="48">
      <x:c r="P48" s="43"/>
    </x:row>
    <x:row r="49">
      <x:c r="P49" s="43"/>
    </x:row>
    <x:row r="50">
      <x:c r="P50" s="43"/>
    </x:row>
    <x:row r="51">
      <x:c r="P51" s="43"/>
    </x:row>
    <x:row r="52">
      <x:c r="P52" s="43"/>
    </x:row>
    <x:row r="53">
      <x:c r="P53" s="43"/>
    </x:row>
    <x:row r="54">
      <x:c r="P54" s="43"/>
    </x:row>
    <x:row r="55">
      <x:c r="P55" s="43"/>
    </x:row>
    <x:row r="56">
      <x:c r="P56" s="43"/>
    </x:row>
    <x:row r="57">
      <x:c r="P57" s="43"/>
    </x:row>
    <x:row r="58">
      <x:c r="P58" s="43"/>
    </x:row>
    <x:row r="59">
      <x:c r="P59" s="43"/>
    </x:row>
    <x:row r="60">
      <x:c r="P60" s="43"/>
    </x:row>
    <x:row r="61">
      <x:c r="P61" s="43"/>
    </x:row>
    <x:row r="62">
      <x:c r="P62" s="43"/>
    </x:row>
    <x:row r="63">
      <x:c r="P63" s="43"/>
    </x:row>
    <x:row r="64">
      <x:c r="P64" s="43"/>
    </x:row>
    <x:row r="65">
      <x:c r="P65" s="43"/>
    </x:row>
    <x:row r="66">
      <x:c r="P66" s="43"/>
    </x:row>
    <x:row r="67">
      <x:c r="P67" s="43"/>
    </x:row>
    <x:row r="68">
      <x:c r="P68" s="43"/>
    </x:row>
    <x:row r="69">
      <x:c r="P69" s="43"/>
    </x:row>
    <x:row r="70">
      <x:c r="P70" s="43"/>
    </x:row>
    <x:row r="71">
      <x:c r="P71" s="43"/>
    </x:row>
    <x:row r="72">
      <x:c r="P72" s="43"/>
    </x:row>
    <x:row r="73">
      <x:c r="P73" s="43"/>
    </x:row>
    <x:row r="74">
      <x:c r="P74" s="43"/>
    </x:row>
    <x:row r="75">
      <x:c r="P75" s="43"/>
    </x:row>
    <x:row r="76">
      <x:c r="P76" s="43"/>
    </x:row>
    <x:row r="77">
      <x:c r="P77" s="43"/>
    </x:row>
    <x:row r="78">
      <x:c r="P78" s="43"/>
    </x:row>
    <x:row r="79">
      <x:c r="P79" s="43"/>
    </x:row>
    <x:row r="80">
      <x:c r="P80" s="43"/>
    </x:row>
    <x:row r="81">
      <x:c r="P81" s="43"/>
    </x:row>
    <x:row r="82">
      <x:c r="P82" s="43"/>
    </x:row>
    <x:row r="83">
      <x:c r="P83" s="43"/>
    </x:row>
    <x:row r="84">
      <x:c r="P84" s="43"/>
    </x:row>
    <x:row r="85">
      <x:c r="P85" s="43"/>
    </x:row>
    <x:row r="86">
      <x:c r="P86" s="43"/>
    </x:row>
    <x:row r="87">
      <x:c r="P87" s="43"/>
    </x:row>
    <x:row r="88">
      <x:c r="P88" s="43"/>
    </x:row>
    <x:row r="89">
      <x:c r="P89" s="43"/>
    </x:row>
    <x:row r="90">
      <x:c r="P90" s="43"/>
    </x:row>
    <x:row r="91">
      <x:c r="P91" s="43"/>
    </x:row>
    <x:row r="92">
      <x:c r="P92" s="43"/>
    </x:row>
    <x:row r="93">
      <x:c r="P93" s="43"/>
    </x:row>
    <x:row r="94">
      <x:c r="P94" s="43"/>
    </x:row>
    <x:row r="95">
      <x:c r="P95" s="43"/>
    </x:row>
    <x:row r="96">
      <x:c r="P96" s="43"/>
    </x:row>
    <x:row r="97">
      <x:c r="P97" s="43"/>
    </x:row>
    <x:row r="98">
      <x:c r="P98" s="43"/>
    </x:row>
    <x:row r="99">
      <x:c r="P99" s="43"/>
    </x:row>
    <x:row r="100">
      <x:c r="P100" s="43"/>
    </x:row>
    <x:row r="101">
      <x:c r="P101" s="43"/>
    </x:row>
    <x:row r="102">
      <x:c r="P102" s="43"/>
    </x:row>
    <x:row r="103">
      <x:c r="P103" s="43"/>
    </x:row>
    <x:row r="104">
      <x:c r="P104" s="43"/>
    </x:row>
    <x:row r="105">
      <x:c r="P105" s="43"/>
    </x:row>
    <x:row r="106">
      <x:c r="P106" s="43"/>
    </x:row>
    <x:row r="107">
      <x:c r="P107" s="43"/>
    </x:row>
    <x:row r="108">
      <x:c r="P108" s="43"/>
    </x:row>
    <x:row r="109">
      <x:c r="P109" s="43"/>
    </x:row>
    <x:row r="110">
      <x:c r="P110" s="43"/>
    </x:row>
    <x:row r="111">
      <x:c r="P111" s="43"/>
    </x:row>
    <x:row r="112">
      <x:c r="P112" s="43"/>
    </x:row>
    <x:row r="113">
      <x:c r="P113" s="43"/>
    </x:row>
    <x:row r="114">
      <x:c r="P114" s="43"/>
    </x:row>
    <x:row r="115">
      <x:c r="P115" s="43"/>
    </x:row>
    <x:row r="116">
      <x:c r="P116" s="43"/>
    </x:row>
    <x:row r="117">
      <x:c r="P117" s="43"/>
    </x:row>
    <x:row r="118">
      <x:c r="P118" s="43"/>
    </x:row>
    <x:row r="119">
      <x:c r="P119" s="43"/>
    </x:row>
    <x:row r="120">
      <x:c r="P120" s="43"/>
    </x:row>
    <x:row r="121">
      <x:c r="P121" s="43"/>
    </x:row>
    <x:row r="122">
      <x:c r="P122" s="43"/>
    </x:row>
    <x:row r="123">
      <x:c r="P123" s="43"/>
    </x:row>
    <x:row r="124">
      <x:c r="P124" s="43"/>
    </x:row>
    <x:row r="125">
      <x:c r="P125" s="43"/>
    </x:row>
    <x:row r="126">
      <x:c r="P126" s="43"/>
    </x:row>
    <x:row r="127">
      <x:c r="P127" s="43"/>
    </x:row>
    <x:row r="128">
      <x:c r="P128" s="43"/>
    </x:row>
    <x:row r="129">
      <x:c r="P129" s="43"/>
    </x:row>
    <x:row r="130">
      <x:c r="P130" s="43"/>
    </x:row>
    <x:row r="131">
      <x:c r="P131" s="43"/>
    </x:row>
    <x:row r="132">
      <x:c r="P132" s="43"/>
    </x:row>
    <x:row r="133">
      <x:c r="P133" s="43"/>
    </x:row>
    <x:row r="134">
      <x:c r="P134" s="43"/>
    </x:row>
    <x:row r="135">
      <x:c r="P135" s="43"/>
    </x:row>
    <x:row r="136">
      <x:c r="P136" s="43"/>
    </x:row>
    <x:row r="137">
      <x:c r="P137" s="43"/>
    </x:row>
    <x:row r="138">
      <x:c r="P138" s="43"/>
    </x:row>
    <x:row r="139">
      <x:c r="P139" s="43"/>
    </x:row>
    <x:row r="140">
      <x:c r="P140" s="43"/>
    </x:row>
    <x:row r="141">
      <x:c r="P141" s="43"/>
    </x:row>
    <x:row r="142">
      <x:c r="P142" s="43"/>
    </x:row>
    <x:row r="143">
      <x:c r="P143" s="43"/>
    </x:row>
    <x:row r="144">
      <x:c r="P144" s="43"/>
    </x:row>
    <x:row r="145">
      <x:c r="P145" s="43"/>
    </x:row>
    <x:row r="146">
      <x:c r="P146" s="43"/>
    </x:row>
    <x:row r="147">
      <x:c r="P147" s="43"/>
    </x:row>
    <x:row r="148">
      <x:c r="P148" s="43"/>
    </x:row>
    <x:row r="149">
      <x:c r="P149" s="43"/>
    </x:row>
    <x:row r="150">
      <x:c r="P150" s="43"/>
    </x:row>
    <x:row r="151">
      <x:c r="P151" s="43"/>
    </x:row>
    <x:row r="152">
      <x:c r="P152" s="43"/>
    </x:row>
    <x:row r="153">
      <x:c r="P153" s="43"/>
    </x:row>
    <x:row r="154">
      <x:c r="P154" s="43"/>
    </x:row>
    <x:row r="155">
      <x:c r="P155" s="43"/>
    </x:row>
    <x:row r="156">
      <x:c r="P156" s="43"/>
    </x:row>
    <x:row r="157">
      <x:c r="P157" s="43"/>
    </x:row>
    <x:row r="158">
      <x:c r="P158" s="43"/>
    </x:row>
    <x:row r="159">
      <x:c r="P159" s="43"/>
    </x:row>
    <x:row r="160">
      <x:c r="P160" s="43"/>
    </x:row>
    <x:row r="161">
      <x:c r="P161" s="43"/>
    </x:row>
    <x:row r="162">
      <x:c r="P162" s="43"/>
    </x:row>
    <x:row r="163">
      <x:c r="P163" s="43"/>
    </x:row>
    <x:row r="164">
      <x:c r="P164" s="43"/>
    </x:row>
    <x:row r="165">
      <x:c r="P165" s="43"/>
    </x:row>
    <x:row r="166">
      <x:c r="P166" s="43"/>
    </x:row>
    <x:row r="167">
      <x:c r="P167" s="43"/>
    </x:row>
    <x:row r="168">
      <x:c r="P168" s="43"/>
    </x:row>
    <x:row r="169">
      <x:c r="P169" s="43"/>
    </x:row>
    <x:row r="170">
      <x:c r="P170" s="43"/>
    </x:row>
    <x:row r="171">
      <x:c r="P171" s="43"/>
    </x:row>
    <x:row r="172">
      <x:c r="P172" s="43"/>
    </x:row>
    <x:row r="173">
      <x:c r="P173" s="43"/>
    </x:row>
    <x:row r="174">
      <x:c r="P174" s="43"/>
    </x:row>
    <x:row r="175">
      <x:c r="P175" s="43"/>
    </x:row>
    <x:row r="176">
      <x:c r="P176" s="43"/>
    </x:row>
    <x:row r="177">
      <x:c r="P177" s="43"/>
    </x:row>
    <x:row r="178">
      <x:c r="P178" s="43"/>
    </x:row>
    <x:row r="179">
      <x:c r="P179" s="43"/>
    </x:row>
    <x:row r="180">
      <x:c r="P180" s="43"/>
    </x:row>
    <x:row r="181">
      <x:c r="P181" s="43"/>
    </x:row>
    <x:row r="182">
      <x:c r="P182" s="43"/>
    </x:row>
    <x:row r="183">
      <x:c r="P183" s="43"/>
    </x:row>
    <x:row r="184">
      <x:c r="P184" s="43"/>
    </x:row>
    <x:row r="185">
      <x:c r="P185" s="43"/>
    </x:row>
    <x:row r="186">
      <x:c r="P186" s="43"/>
    </x:row>
    <x:row r="187">
      <x:c r="P187" s="43"/>
    </x:row>
    <x:row r="188">
      <x:c r="P188" s="43"/>
    </x:row>
    <x:row r="189">
      <x:c r="P189" s="43"/>
    </x:row>
    <x:row r="190">
      <x:c r="P190" s="43"/>
    </x:row>
    <x:row r="191">
      <x:c r="P191" s="43"/>
    </x:row>
    <x:row r="192">
      <x:c r="P192" s="43"/>
    </x:row>
    <x:row r="193">
      <x:c r="P193" s="43"/>
    </x:row>
    <x:row r="194">
      <x:c r="P194" s="43"/>
    </x:row>
    <x:row r="195">
      <x:c r="P195" s="43"/>
    </x:row>
    <x:row r="196">
      <x:c r="P196" s="43"/>
    </x:row>
    <x:row r="197">
      <x:c r="P197" s="43"/>
    </x:row>
    <x:row r="198">
      <x:c r="P198" s="43"/>
    </x:row>
    <x:row r="199">
      <x:c r="P199" s="43"/>
    </x:row>
    <x:row r="200">
      <x:c r="P200" s="43"/>
    </x:row>
  </x:sheetData>
  <x:mergeCells>
    <x:mergeCell ref="A1:O1"/>
    <x:mergeCell ref="A2:O2"/>
    <x:mergeCell ref="A3:O3"/>
  </x:mergeCells>
  <x:conditionalFormatting sqref="N5:N24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</x:conditionalFormatting>
  <x:conditionalFormatting sqref="K5:K24">
    <x:cfRule type="expression" dxfId="4" priority="5">
      <x:formula>K5="High"</x:formula>
    </x:cfRule>
    <x:cfRule type="expression" dxfId="5" priority="6">
      <x:formula>K5="Medium"</x:formula>
    </x:cfRule>
    <x:cfRule type="expression" dxfId="6" priority="7">
      <x:formula>K5="Low"</x:formula>
    </x:cfRule>
  </x:conditionalFormatting>
  <x:conditionalFormatting sqref="L5:L24">
    <x:cfRule type="expression" dxfId="7" priority="8">
      <x:formula>L5="Critical"</x:formula>
    </x:cfRule>
    <x:cfRule type="expression" dxfId="8" priority="9">
      <x:formula>L5="High"</x:formula>
    </x:cfRule>
    <x:cfRule type="expression" dxfId="9" priority="10">
      <x:formula>L5="Medium"</x:formula>
    </x:cfRule>
    <x:cfRule type="expression" dxfId="10" priority="11">
      <x:formula>L5="Low"</x:formula>
    </x:cfRule>
  </x:conditionalFormatting>
  <x:dataValidations count="4">
    <x:dataValidation type="list" sqref="K5:K200">
      <x:formula1>"High,Medium,Low"</x:formula1>
    </x:dataValidation>
    <x:dataValidation type="list" sqref="L5:L200">
      <x:formula1>"Critical,High,Medium,Low"</x:formula1>
    </x:dataValidation>
    <x:dataValidation type="list" sqref="M5:M200">
      <x:formula1>"Functional - Positive,Functional - Negative,UI / Navigation,Security-Oriented,Session / Access Control,Role / Permission,Validation,Functional"</x:formula1>
    </x:dataValidation>
    <x:dataValidation type="list" sqref="N5:N200">
      <x:formula1>"Pass,Fail,Blocked,Not 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730bdb501f4ee6"/>
  </x:tableParts>
</x:worksheet>
</file>